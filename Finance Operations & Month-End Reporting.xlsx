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hidePivotFieldList="1" defaultThemeVersion="166925"/>
  <xr:revisionPtr revIDLastSave="0" documentId="8_{A387D4B1-7FF6-4A60-A554-BEEC51BC9D30}" xr6:coauthVersionLast="47" xr6:coauthVersionMax="47" xr10:uidLastSave="{00000000-0000-0000-0000-000000000000}"/>
  <bookViews>
    <workbookView xWindow="240" yWindow="105" windowWidth="14805" windowHeight="8010" firstSheet="14" activeTab="14" xr2:uid="{00000000-000D-0000-FFFF-FFFF00000000}"/>
  </bookViews>
  <sheets>
    <sheet name="Suppliers" sheetId="1" r:id="rId1"/>
    <sheet name="Customers" sheetId="2" r:id="rId2"/>
    <sheet name="Invoices" sheetId="3" r:id="rId3"/>
    <sheet name="Payments" sheetId="4" r:id="rId4"/>
    <sheet name="Cashbook" sheetId="5" r:id="rId5"/>
    <sheet name="AP_Aging" sheetId="6" r:id="rId6"/>
    <sheet name="AR_Aging" sheetId="7" r:id="rId7"/>
    <sheet name="Summary" sheetId="8" r:id="rId8"/>
    <sheet name="Data_Source_Assumptions" sheetId="9" r:id="rId9"/>
    <sheet name="Control_Checks sheet" sheetId="10" r:id="rId10"/>
    <sheet name="Journal_Entries" sheetId="11" r:id="rId11"/>
    <sheet name="Accruals_Schedule" sheetId="12" r:id="rId12"/>
    <sheet name="Prepayments_Schedule" sheetId="13" r:id="rId13"/>
    <sheet name="Pivot_Reports" sheetId="15" r:id="rId14"/>
    <sheet name="Dashboard" sheetId="16" r:id="rId15"/>
  </sheets>
  <calcPr calcId="191028"/>
  <pivotCaches>
    <pivotCache cacheId="1755" r:id="rId16"/>
    <pivotCache cacheId="1756" r:id="rId17"/>
    <pivotCache cacheId="1757" r:id="rId18"/>
    <pivotCache cacheId="1758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6" l="1"/>
  <c r="B7" i="16"/>
  <c r="B8" i="16"/>
  <c r="B9" i="16"/>
  <c r="B10" i="16"/>
  <c r="B11" i="16"/>
  <c r="B12" i="16"/>
  <c r="B13" i="16" a="1"/>
  <c r="B13" i="16"/>
  <c r="B14" i="16"/>
  <c r="B15" i="16"/>
  <c r="B16" i="16"/>
  <c r="B5" i="16"/>
  <c r="E5" i="16"/>
  <c r="E4" i="16"/>
  <c r="B4" i="16"/>
  <c r="C17" i="10"/>
  <c r="C16" i="10"/>
  <c r="C15" i="10"/>
  <c r="C14" i="10"/>
  <c r="B17" i="10"/>
  <c r="B16" i="10"/>
  <c r="B15" i="10"/>
  <c r="B14" i="10"/>
  <c r="J9" i="13"/>
  <c r="I8" i="13"/>
  <c r="F8" i="12"/>
  <c r="K2" i="11"/>
  <c r="K3" i="11"/>
  <c r="K4" i="11"/>
  <c r="K5" i="11"/>
  <c r="B13" i="10"/>
  <c r="C13" i="10" s="1"/>
  <c r="B12" i="10"/>
  <c r="C12" i="10" s="1"/>
  <c r="B11" i="10"/>
  <c r="C11" i="10" s="1"/>
  <c r="B10" i="10" a="1"/>
  <c r="B10" i="10"/>
  <c r="C10" i="10" s="1"/>
  <c r="B9" i="10"/>
  <c r="C9" i="10" s="1"/>
  <c r="B8" i="10"/>
  <c r="C8" i="10" s="1"/>
  <c r="B7" i="10"/>
  <c r="C7" i="10" s="1"/>
  <c r="B6" i="10"/>
  <c r="C6" i="10" s="1"/>
  <c r="B5" i="10"/>
  <c r="C5" i="10" s="1"/>
  <c r="B4" i="10"/>
  <c r="C4" i="10" s="1"/>
  <c r="B3" i="10"/>
  <c r="C3" i="10" s="1"/>
  <c r="B2" i="10"/>
  <c r="C2" i="10" s="1"/>
  <c r="B12" i="8"/>
  <c r="B3" i="8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2" i="5"/>
  <c r="F3" i="5" s="1"/>
  <c r="J82" i="3"/>
  <c r="K82" i="3" s="1"/>
  <c r="I82" i="3"/>
  <c r="J8" i="3"/>
  <c r="I3" i="3"/>
  <c r="I4" i="3"/>
  <c r="I5" i="3"/>
  <c r="I6" i="3"/>
  <c r="I7" i="3"/>
  <c r="I8" i="3"/>
  <c r="I9" i="3"/>
  <c r="I10" i="3"/>
  <c r="I11" i="3"/>
  <c r="G2" i="3"/>
  <c r="J2" i="3"/>
  <c r="B11" i="8"/>
  <c r="B4" i="8"/>
  <c r="J3" i="3"/>
  <c r="J4" i="3"/>
  <c r="K4" i="3" s="1"/>
  <c r="J5" i="3"/>
  <c r="K5" i="3" s="1"/>
  <c r="J6" i="3"/>
  <c r="K6" i="3" s="1"/>
  <c r="J7" i="3"/>
  <c r="K7" i="3" s="1"/>
  <c r="K8" i="3"/>
  <c r="J9" i="3"/>
  <c r="K9" i="3" s="1"/>
  <c r="J10" i="3"/>
  <c r="K10" i="3" s="1"/>
  <c r="J11" i="3"/>
  <c r="K11" i="3" s="1"/>
  <c r="I2" i="3"/>
  <c r="H11" i="3"/>
  <c r="H10" i="3"/>
  <c r="H9" i="3"/>
  <c r="H8" i="3"/>
  <c r="H7" i="3"/>
  <c r="H6" i="3"/>
  <c r="H5" i="3"/>
  <c r="H4" i="3"/>
  <c r="H3" i="3"/>
  <c r="H2" i="3"/>
  <c r="L11" i="3" l="1"/>
  <c r="G11" i="3"/>
  <c r="L10" i="3"/>
  <c r="G10" i="3"/>
  <c r="L9" i="3"/>
  <c r="G9" i="3"/>
  <c r="L8" i="3"/>
  <c r="G8" i="3"/>
  <c r="L7" i="3"/>
  <c r="G7" i="3"/>
  <c r="L6" i="3"/>
  <c r="G6" i="3"/>
  <c r="L5" i="3"/>
  <c r="G5" i="3"/>
  <c r="L4" i="3"/>
  <c r="G4" i="3"/>
  <c r="K3" i="3"/>
  <c r="B5" i="8"/>
  <c r="L2" i="3"/>
  <c r="B6" i="8"/>
  <c r="L3" i="3" l="1"/>
  <c r="G3" i="3"/>
  <c r="B9" i="8"/>
  <c r="B8" i="8"/>
  <c r="B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<sst xmlns="http://schemas.openxmlformats.org/spreadsheetml/2006/main" count="1586" uniqueCount="491">
  <si>
    <t>Supplier_ID</t>
  </si>
  <si>
    <t>Supplier_Name</t>
  </si>
  <si>
    <t>Country</t>
  </si>
  <si>
    <t>Payment_Terms</t>
  </si>
  <si>
    <t>SUP001</t>
  </si>
  <si>
    <t>ABC Office Supplies</t>
  </si>
  <si>
    <t>USA</t>
  </si>
  <si>
    <t>SUP002</t>
  </si>
  <si>
    <t>Global IT Services</t>
  </si>
  <si>
    <t>UK</t>
  </si>
  <si>
    <t>SUP003</t>
  </si>
  <si>
    <t>Bright Marketing</t>
  </si>
  <si>
    <t>Canada</t>
  </si>
  <si>
    <t>SUP004</t>
  </si>
  <si>
    <t>Delta Logistics</t>
  </si>
  <si>
    <t>Germany</t>
  </si>
  <si>
    <t>SUP005</t>
  </si>
  <si>
    <t>Tech Hardware Ltd</t>
  </si>
  <si>
    <t>SUP006</t>
  </si>
  <si>
    <t>Green Energy Co</t>
  </si>
  <si>
    <t>Netherlands</t>
  </si>
  <si>
    <t>SUP007</t>
  </si>
  <si>
    <t>Secure Systems</t>
  </si>
  <si>
    <t>SUP008</t>
  </si>
  <si>
    <t>Rapid Transport</t>
  </si>
  <si>
    <t>France</t>
  </si>
  <si>
    <t>SUP009</t>
  </si>
  <si>
    <t>Apex Consulting</t>
  </si>
  <si>
    <t>SUP010</t>
  </si>
  <si>
    <t>Smart Packaging</t>
  </si>
  <si>
    <t>Italy</t>
  </si>
  <si>
    <t>SUP011</t>
  </si>
  <si>
    <t>Metro Utilities Ltd</t>
  </si>
  <si>
    <t>SUP012</t>
  </si>
  <si>
    <t>CloudWorks Software Ltd</t>
  </si>
  <si>
    <t>Ireland</t>
  </si>
  <si>
    <t>SUP013</t>
  </si>
  <si>
    <t>Prime Logistics Services</t>
  </si>
  <si>
    <t>SUP014</t>
  </si>
  <si>
    <t>BrightClean Facilities</t>
  </si>
  <si>
    <t>SUP015</t>
  </si>
  <si>
    <t>Shield Insurance Brokers</t>
  </si>
  <si>
    <t>SUP016</t>
  </si>
  <si>
    <t>Apex Professional Services</t>
  </si>
  <si>
    <t>SUP017</t>
  </si>
  <si>
    <t>GreenOffice Supplies</t>
  </si>
  <si>
    <t>SUP018</t>
  </si>
  <si>
    <t>MediaEdge Marketing Ltd</t>
  </si>
  <si>
    <t>Customer_ID</t>
  </si>
  <si>
    <t>Customer_Name</t>
  </si>
  <si>
    <t>Credit_Terms</t>
  </si>
  <si>
    <t>CUS001</t>
  </si>
  <si>
    <t>Blue Retail</t>
  </si>
  <si>
    <t>CUS002</t>
  </si>
  <si>
    <t>Nova Electronics</t>
  </si>
  <si>
    <t>CUS003</t>
  </si>
  <si>
    <t>Urban Stores</t>
  </si>
  <si>
    <t>CUS004</t>
  </si>
  <si>
    <t>Prime Wholesale</t>
  </si>
  <si>
    <t>CUS005</t>
  </si>
  <si>
    <t>City Market</t>
  </si>
  <si>
    <t>CUS006</t>
  </si>
  <si>
    <t>Mega Distributors</t>
  </si>
  <si>
    <t>CUS007</t>
  </si>
  <si>
    <t>Smart Retail</t>
  </si>
  <si>
    <t>CUS008</t>
  </si>
  <si>
    <t>Value Stores</t>
  </si>
  <si>
    <t>CUS009</t>
  </si>
  <si>
    <t>Retail Hub</t>
  </si>
  <si>
    <t>CUS010</t>
  </si>
  <si>
    <t>Tech Bazaar</t>
  </si>
  <si>
    <t>CUS011</t>
  </si>
  <si>
    <t>BluePeak Retail Group</t>
  </si>
  <si>
    <t>CUS012</t>
  </si>
  <si>
    <t>Nova Wholesale Ltd</t>
  </si>
  <si>
    <t>CUS013</t>
  </si>
  <si>
    <t>Horizon Online Stores</t>
  </si>
  <si>
    <t>CUS014</t>
  </si>
  <si>
    <t>ClearView Corporate Ltd</t>
  </si>
  <si>
    <t>Invoice_ID</t>
  </si>
  <si>
    <t>Date</t>
  </si>
  <si>
    <t>Type</t>
  </si>
  <si>
    <t>Party_ID</t>
  </si>
  <si>
    <t>Amount</t>
  </si>
  <si>
    <t>Due_Date</t>
  </si>
  <si>
    <t>Status</t>
  </si>
  <si>
    <t>Party_Name</t>
  </si>
  <si>
    <t>Terms</t>
  </si>
  <si>
    <t>Paid_Amount</t>
  </si>
  <si>
    <t>Balance</t>
  </si>
  <si>
    <t>Days_Overdue</t>
  </si>
  <si>
    <t>Report_Date</t>
  </si>
  <si>
    <t>INV001</t>
  </si>
  <si>
    <t>AP</t>
  </si>
  <si>
    <t>INV002</t>
  </si>
  <si>
    <t>AR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</si>
  <si>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</si>
  <si>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</si>
  <si>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</si>
  <si>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</si>
  <si>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</si>
  <si>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</si>
  <si>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</si>
  <si>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</si>
  <si>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</si>
  <si>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Open</t>
  </si>
  <si>
    <t>INV012</t>
  </si>
  <si>
    <t>Partially Paid</t>
  </si>
  <si>
    <t>INV013</t>
  </si>
  <si>
    <t>INV014</t>
  </si>
  <si>
    <t>INV015</t>
  </si>
  <si>
    <t>Closed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</si>
  <si>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</si>
  <si>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</si>
  <si>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</si>
  <si>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</si>
  <si>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</si>
  <si>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</si>
  <si>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</si>
  <si>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</si>
  <si>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</si>
  <si>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</si>
  <si>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</si>
  <si>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</si>
  <si>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</si>
  <si>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</si>
  <si>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</si>
  <si>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</si>
  <si>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</si>
  <si>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</si>
  <si>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</si>
  <si>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</si>
  <si>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</si>
  <si>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</si>
  <si>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</si>
  <si>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</si>
  <si>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</si>
  <si>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</si>
  <si>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</si>
  <si>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</si>
  <si>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</si>
  <si>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</si>
  <si>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</si>
  <si>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</si>
  <si>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</si>
  <si>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</si>
  <si>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</si>
  <si>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INV051</t>
  </si>
  <si>
    <t>INV052</t>
  </si>
  <si>
    <t>INV053</t>
  </si>
  <si>
    <t>INV054</t>
  </si>
  <si>
    <t>INV055</t>
  </si>
  <si>
    <t>INV056</t>
  </si>
  <si>
    <t>INV057</t>
  </si>
  <si>
    <t>INV058</t>
  </si>
  <si>
    <t>INV059</t>
  </si>
  <si>
    <t>INV060</t>
  </si>
  <si>
    <t>INV061</t>
  </si>
  <si>
    <t>INV062</t>
  </si>
  <si>
    <t>INV063</t>
  </si>
  <si>
    <t>INV064</t>
  </si>
  <si>
    <t>INV065</t>
  </si>
  <si>
    <t>INV066</t>
  </si>
  <si>
    <t>INV067</t>
  </si>
  <si>
    <t>INV068</t>
  </si>
  <si>
    <t>INV069</t>
  </si>
  <si>
    <t>INV070</t>
  </si>
  <si>
    <t>INV071</t>
  </si>
  <si>
    <t>INV072</t>
  </si>
  <si>
    <t>INV073</t>
  </si>
  <si>
    <t>INV074</t>
  </si>
  <si>
    <t>INV075</t>
  </si>
  <si>
    <t>INV076</t>
  </si>
  <si>
    <t>INV077</t>
  </si>
  <si>
    <t>INV078</t>
  </si>
  <si>
    <t>INV079</t>
  </si>
  <si>
    <t>INV080</t>
  </si>
  <si>
    <t>INV081</t>
  </si>
  <si>
    <t>INV082</t>
  </si>
  <si>
    <t>INV083</t>
  </si>
  <si>
    <t>INV084</t>
  </si>
  <si>
    <t>INV085</t>
  </si>
  <si>
    <t>INV086</t>
  </si>
  <si>
    <t>INV087</t>
  </si>
  <si>
    <t>INV088</t>
  </si>
  <si>
    <t>INV089</t>
  </si>
  <si>
    <t>INV090</t>
  </si>
  <si>
    <t>INV091</t>
  </si>
  <si>
    <t>INV092</t>
  </si>
  <si>
    <t>INV093</t>
  </si>
  <si>
    <t>INV094</t>
  </si>
  <si>
    <t>INV095</t>
  </si>
  <si>
    <t>INV096</t>
  </si>
  <si>
    <t>INV097</t>
  </si>
  <si>
    <t>INV098</t>
  </si>
  <si>
    <t>INV099</t>
  </si>
  <si>
    <t>INV100</t>
  </si>
  <si>
    <t>INV101</t>
  </si>
  <si>
    <t>INV102</t>
  </si>
  <si>
    <t>INV103</t>
  </si>
  <si>
    <t>INV104</t>
  </si>
  <si>
    <t>INV105</t>
  </si>
  <si>
    <t>INV106</t>
  </si>
  <si>
    <t>INV107</t>
  </si>
  <si>
    <t>INV108</t>
  </si>
  <si>
    <t>INV109</t>
  </si>
  <si>
    <t>INV110</t>
  </si>
  <si>
    <t>Payment_ID</t>
  </si>
  <si>
    <t>Amount_Paid</t>
  </si>
  <si>
    <t>Method</t>
  </si>
  <si>
    <t>PAY001</t>
  </si>
  <si>
    <t>Bank</t>
  </si>
  <si>
    <t>PAY002</t>
  </si>
  <si>
    <t>PAY003</t>
  </si>
  <si>
    <t>PAY004</t>
  </si>
  <si>
    <t>PAY005</t>
  </si>
  <si>
    <t>PAY006</t>
  </si>
  <si>
    <t>PAY007</t>
  </si>
  <si>
    <t>PAY008</t>
  </si>
  <si>
    <t>PAY009</t>
  </si>
  <si>
    <t>PAY010</t>
  </si>
  <si>
    <t>PAY011</t>
  </si>
  <si>
    <t>PAY012</t>
  </si>
  <si>
    <t>PAY013</t>
  </si>
  <si>
    <t>PAY014</t>
  </si>
  <si>
    <t>PAY015</t>
  </si>
  <si>
    <t>PAY016</t>
  </si>
  <si>
    <t>PAY017</t>
  </si>
  <si>
    <t>PAY018</t>
  </si>
  <si>
    <t>PAY019</t>
  </si>
  <si>
    <t>PAY020</t>
  </si>
  <si>
    <t>PAY021</t>
  </si>
  <si>
    <t>PAY022</t>
  </si>
  <si>
    <t>PAY023</t>
  </si>
  <si>
    <t>PAY024</t>
  </si>
  <si>
    <t>PAY025</t>
  </si>
  <si>
    <t>PAY026</t>
  </si>
  <si>
    <t>PAY027</t>
  </si>
  <si>
    <t>PAY028</t>
  </si>
  <si>
    <t>PAY029</t>
  </si>
  <si>
    <t>PAY030</t>
  </si>
  <si>
    <t>PAY031</t>
  </si>
  <si>
    <t>PAY032</t>
  </si>
  <si>
    <t>PAY033</t>
  </si>
  <si>
    <t>PAY034</t>
  </si>
  <si>
    <t>PAY035</t>
  </si>
  <si>
    <t>PAY036</t>
  </si>
  <si>
    <t>PAY037</t>
  </si>
  <si>
    <t>PAY038</t>
  </si>
  <si>
    <t>PAY039</t>
  </si>
  <si>
    <t>PAY040</t>
  </si>
  <si>
    <t>PAY041</t>
  </si>
  <si>
    <t>PAY042</t>
  </si>
  <si>
    <t>PAY043</t>
  </si>
  <si>
    <t>PAY044</t>
  </si>
  <si>
    <t>PAY045</t>
  </si>
  <si>
    <t>PAY046</t>
  </si>
  <si>
    <t>PAY047</t>
  </si>
  <si>
    <t>PAY048</t>
  </si>
  <si>
    <t>PAY049</t>
  </si>
  <si>
    <t>PAY050</t>
  </si>
  <si>
    <t>PAY051</t>
  </si>
  <si>
    <t>PAY052</t>
  </si>
  <si>
    <t>PAY053</t>
  </si>
  <si>
    <t>PAY054</t>
  </si>
  <si>
    <t>PAY055</t>
  </si>
  <si>
    <t>PAY056</t>
  </si>
  <si>
    <t>PAY057</t>
  </si>
  <si>
    <t>PAY058</t>
  </si>
  <si>
    <t>PAY059</t>
  </si>
  <si>
    <t>PAY060</t>
  </si>
  <si>
    <t>Description</t>
  </si>
  <si>
    <t>Debit</t>
  </si>
  <si>
    <t>Credit</t>
  </si>
  <si>
    <t>Opening Balance</t>
  </si>
  <si>
    <t>Opening</t>
  </si>
  <si>
    <t>Payment to supplier for INV001</t>
  </si>
  <si>
    <t>Payment</t>
  </si>
  <si>
    <t>Payment received for INV002</t>
  </si>
  <si>
    <t>Receipt</t>
  </si>
  <si>
    <t>Payment to supplier INV003</t>
  </si>
  <si>
    <t>Payment received for INV004</t>
  </si>
  <si>
    <t>Payment to supplier INV005</t>
  </si>
  <si>
    <t>Payment received for INV006</t>
  </si>
  <si>
    <t>Payment received for INV008</t>
  </si>
  <si>
    <t>Payment to supplier INV009</t>
  </si>
  <si>
    <t>Payment received for INV010</t>
  </si>
  <si>
    <t>Payment received for INV012</t>
  </si>
  <si>
    <t>Payment to supplier for INV015</t>
  </si>
  <si>
    <t>Payment received for INV016</t>
  </si>
  <si>
    <t>Payment to supplier for INV019</t>
  </si>
  <si>
    <t>Payment received for INV020</t>
  </si>
  <si>
    <t>Payment to supplier for INV023</t>
  </si>
  <si>
    <t>Payment received for INV024</t>
  </si>
  <si>
    <t>Payment received for INV026</t>
  </si>
  <si>
    <t>Payment received for INV028</t>
  </si>
  <si>
    <t>Payment received for INV030</t>
  </si>
  <si>
    <t>Payment to supplier for INV032</t>
  </si>
  <si>
    <t>Payment to supplier for INV034</t>
  </si>
  <si>
    <t>Payment received for INV035</t>
  </si>
  <si>
    <t>Payment to supplier for INV037</t>
  </si>
  <si>
    <t>Payment to supplier for INV039</t>
  </si>
  <si>
    <t>Payment to supplier for INV042</t>
  </si>
  <si>
    <t>Payment received for INV043</t>
  </si>
  <si>
    <t>Payment received for INV045</t>
  </si>
  <si>
    <t>Payment to supplier for INV046</t>
  </si>
  <si>
    <t>Payment to supplier for INV049</t>
  </si>
  <si>
    <t>Payment received for INV050</t>
  </si>
  <si>
    <t>Payment received for INV052</t>
  </si>
  <si>
    <t>Payment to supplier for INV053</t>
  </si>
  <si>
    <t>Payment to supplier for INV056</t>
  </si>
  <si>
    <t>Payment received for INV057</t>
  </si>
  <si>
    <t>Payment received for INV060</t>
  </si>
  <si>
    <t>Payment to supplier for INV061</t>
  </si>
  <si>
    <t>Payment to supplier for INV063</t>
  </si>
  <si>
    <t>Payment received for INV065</t>
  </si>
  <si>
    <t>Payment received for INV067</t>
  </si>
  <si>
    <t>Payment to supplier for INV069</t>
  </si>
  <si>
    <t>Payment to supplier for INV073</t>
  </si>
  <si>
    <t>Payment to supplier for INV075</t>
  </si>
  <si>
    <t>Payment received for INV077</t>
  </si>
  <si>
    <t>Payment received for INV079</t>
  </si>
  <si>
    <t>Payment to supplier for INV080</t>
  </si>
  <si>
    <t>Payment to supplier for INV083</t>
  </si>
  <si>
    <t>Payment received for INV084</t>
  </si>
  <si>
    <t>Payment to supplier for INV086</t>
  </si>
  <si>
    <t>Payment received for INV087</t>
  </si>
  <si>
    <t>Payment received for INV090</t>
  </si>
  <si>
    <t>Payment to supplier for INV093</t>
  </si>
  <si>
    <t>Payment received for INV094</t>
  </si>
  <si>
    <t>Payment received for INV096</t>
  </si>
  <si>
    <t>Payment to supplier for INV099</t>
  </si>
  <si>
    <t>Payment received for INV100</t>
  </si>
  <si>
    <t>Payment received for INV102</t>
  </si>
  <si>
    <t>Payment to supplier for INV105</t>
  </si>
  <si>
    <t>Payment received for INV106</t>
  </si>
  <si>
    <t>Payment to supplier for INV107</t>
  </si>
  <si>
    <t>Payment received for INV108</t>
  </si>
  <si>
    <t>Age_Bucket</t>
  </si>
  <si>
    <t>1-30 Days</t>
  </si>
  <si>
    <t>Current</t>
  </si>
  <si>
    <t>Finance Operations Summary</t>
  </si>
  <si>
    <t>Total Invoices</t>
  </si>
  <si>
    <t>Total Invoice Amount</t>
  </si>
  <si>
    <t>Total Paid Amount</t>
  </si>
  <si>
    <t>Total Outstanding Balance</t>
  </si>
  <si>
    <t>Open Invoices</t>
  </si>
  <si>
    <t>Partially Paid Invoices</t>
  </si>
  <si>
    <t>Closed Invoices</t>
  </si>
  <si>
    <t>Total AP Outstanding</t>
  </si>
  <si>
    <t>Total AR Outstanding</t>
  </si>
  <si>
    <t>Area</t>
  </si>
  <si>
    <t>Explanation</t>
  </si>
  <si>
    <t>Project Title</t>
  </si>
  <si>
    <t>Tesco 2024 Finance Operations &amp; Month-End Reporting Pack</t>
  </si>
  <si>
    <t>Company Reference</t>
  </si>
  <si>
    <t>Tesco PLC</t>
  </si>
  <si>
    <t>Source Document</t>
  </si>
  <si>
    <t>Tesco PLC Annual Report and Financial Statements 2024</t>
  </si>
  <si>
    <t>Source Type</t>
  </si>
  <si>
    <t>Public annual report / financial statement data</t>
  </si>
  <si>
    <t>Source Year</t>
  </si>
  <si>
    <t>Tesco Reporting Date</t>
  </si>
  <si>
    <t>Project Completion Date</t>
  </si>
  <si>
    <t>Business Context</t>
  </si>
  <si>
    <t>Tesco is used as the real-company reference for this finance operations model</t>
  </si>
  <si>
    <t>Public Tesco Data Used</t>
  </si>
  <si>
    <t>Group sales, statutory revenue, business overview, financial statement context, payables/receivables/cash reference</t>
  </si>
  <si>
    <t>Transaction-Level Data</t>
  </si>
  <si>
    <t>Invoice-level AP, AR, payments, cashbook, and aging records are modelled for portfolio analysis</t>
  </si>
  <si>
    <t>Reason for Modelling</t>
  </si>
  <si>
    <t>Tesco’s public annual report does not disclose individual supplier invoices, customer invoices, or bank-level payment records</t>
  </si>
  <si>
    <t>Confidentiality Statement</t>
  </si>
  <si>
    <t>No confidential Tesco internal invoice, supplier, customer, payroll, or bank data is used</t>
  </si>
  <si>
    <t>Workbook Scope</t>
  </si>
  <si>
    <t>Accounts payable, accounts receivable, payments, cashbook, AP aging, AR aging, summary reporting, journals, accruals, prepayments, controls, and dashboard</t>
  </si>
  <si>
    <t>Tools Used</t>
  </si>
  <si>
    <t>Excel Tables, XLOOKUP, SUMIFS, PivotTables, conditional formatting, control checks</t>
  </si>
  <si>
    <t>Recruiter Explanation</t>
  </si>
  <si>
    <t>The project uses Tesco 2024 public financial data as a business reference, with modelled transaction-level finance operations data created to demonstrate practical AP, AR, cashbook, aging, and month-end reporting skills</t>
  </si>
  <si>
    <t>Check</t>
  </si>
  <si>
    <t>Formula_Result</t>
  </si>
  <si>
    <t>Total invoices = 110</t>
  </si>
  <si>
    <t>Total suppliers = 18</t>
  </si>
  <si>
    <t>Total customers = 14</t>
  </si>
  <si>
    <t>Payment records = 60</t>
  </si>
  <si>
    <t>Invoice amount = paid + balance</t>
  </si>
  <si>
    <t>AP aging total = AP outstanding</t>
  </si>
  <si>
    <t>AR aging total = AR outstanding</t>
  </si>
  <si>
    <t>AP + AR outstanding = total outstanding</t>
  </si>
  <si>
    <t>Cashbook closing balance = 23,600</t>
  </si>
  <si>
    <t>No negative balances</t>
  </si>
  <si>
    <t>No missing party IDs</t>
  </si>
  <si>
    <t>No duplicate invoice IDs</t>
  </si>
  <si>
    <t>Journal debits = journal credits</t>
  </si>
  <si>
    <t>Accruals total = 11,200</t>
  </si>
  <si>
    <t>Prepayment Feb24 expense = 3,300</t>
  </si>
  <si>
    <t>Prepayment remaining balance = 19,700</t>
  </si>
  <si>
    <t>Journal_ID</t>
  </si>
  <si>
    <t>Journal_Type</t>
  </si>
  <si>
    <t>Account</t>
  </si>
  <si>
    <t>Source</t>
  </si>
  <si>
    <t>Cell</t>
  </si>
  <si>
    <t>Text / Formula</t>
  </si>
  <si>
    <t>JE001</t>
  </si>
  <si>
    <t>AP Invoice Recognition</t>
  </si>
  <si>
    <t>Operating Expenses / Purchases</t>
  </si>
  <si>
    <t>Recognise supplier invoices raised during the reporting period</t>
  </si>
  <si>
    <t>AP invoices</t>
  </si>
  <si>
    <t>Total Debits</t>
  </si>
  <si>
    <t>Accounts Payable</t>
  </si>
  <si>
    <t>Total Credits</t>
  </si>
  <si>
    <t>JE002</t>
  </si>
  <si>
    <t>AR Invoice Recognition</t>
  </si>
  <si>
    <t>Accounts Receivable</t>
  </si>
  <si>
    <t>Recognise customer invoices raised during the reporting period</t>
  </si>
  <si>
    <t>AR invoices</t>
  </si>
  <si>
    <t>Difference</t>
  </si>
  <si>
    <t>Sales Revenue</t>
  </si>
  <si>
    <t>JE003</t>
  </si>
  <si>
    <t>Supplier Payments</t>
  </si>
  <si>
    <t>Record payments made to suppliers</t>
  </si>
  <si>
    <t>Payments / Cashbook</t>
  </si>
  <si>
    <t>JE004</t>
  </si>
  <si>
    <t>Customer Receipts</t>
  </si>
  <si>
    <t>Record cash received from customers</t>
  </si>
  <si>
    <t>JE005</t>
  </si>
  <si>
    <t>Accruals</t>
  </si>
  <si>
    <t>Operating Expenses</t>
  </si>
  <si>
    <t>Record month-end accrued expenses for utilities, professional fees, cleaning, marketing and logistics</t>
  </si>
  <si>
    <t>Accruals Schedule</t>
  </si>
  <si>
    <t>Accrued Expenses</t>
  </si>
  <si>
    <t>JE006</t>
  </si>
  <si>
    <t>Prepayment Amortisation</t>
  </si>
  <si>
    <t>Release February prepaid expense to profit and loss</t>
  </si>
  <si>
    <t>Prepayments Schedule</t>
  </si>
  <si>
    <t>Prepaid Expenses</t>
  </si>
  <si>
    <t>Accrual_ID</t>
  </si>
  <si>
    <t>Expense_Type</t>
  </si>
  <si>
    <t>Period</t>
  </si>
  <si>
    <t>Accrued_Amount</t>
  </si>
  <si>
    <t>Reversal_Date</t>
  </si>
  <si>
    <t>ACC001</t>
  </si>
  <si>
    <t>Utilities</t>
  </si>
  <si>
    <t>ACC002</t>
  </si>
  <si>
    <t>Professional Fees</t>
  </si>
  <si>
    <t>ACC003</t>
  </si>
  <si>
    <t>Cleaning</t>
  </si>
  <si>
    <t>ACC004</t>
  </si>
  <si>
    <t>Marketing</t>
  </si>
  <si>
    <t>ACC005</t>
  </si>
  <si>
    <t>Logistics</t>
  </si>
  <si>
    <t>Total Accruals</t>
  </si>
  <si>
    <t>Prepayment_ID</t>
  </si>
  <si>
    <t>Start_Date</t>
  </si>
  <si>
    <t>End_Date</t>
  </si>
  <si>
    <t>Total_Prepaid</t>
  </si>
  <si>
    <t>Monthly_Expense</t>
  </si>
  <si>
    <t>Feb24_Expense</t>
  </si>
  <si>
    <t>Remaining_Balance</t>
  </si>
  <si>
    <t>PRE001</t>
  </si>
  <si>
    <t>Annual insurance prepaid</t>
  </si>
  <si>
    <t>Active</t>
  </si>
  <si>
    <t>PRE002</t>
  </si>
  <si>
    <t>Software subscription prepaid</t>
  </si>
  <si>
    <t>PRE003</t>
  </si>
  <si>
    <t>Advisory retainer prepaid</t>
  </si>
  <si>
    <t>PRE004</t>
  </si>
  <si>
    <t>Cleaning contract prepaid</t>
  </si>
  <si>
    <t>PRE005</t>
  </si>
  <si>
    <t>Campaign fee prepaid</t>
  </si>
  <si>
    <t>Total Feb24 Expense</t>
  </si>
  <si>
    <t>Total Remaining Balance</t>
  </si>
  <si>
    <t>(All)</t>
  </si>
  <si>
    <t>AP Outstanding</t>
  </si>
  <si>
    <t>AR Outstanding</t>
  </si>
  <si>
    <t>Invoice Count</t>
  </si>
  <si>
    <t>Grand Total</t>
  </si>
  <si>
    <t>Cash Outflow</t>
  </si>
  <si>
    <t>Cash Inflow</t>
  </si>
  <si>
    <t>Tesco 2024 Finance Operations Dashboard</t>
  </si>
  <si>
    <t>KPI</t>
  </si>
  <si>
    <t>Value</t>
  </si>
  <si>
    <t>Control Status</t>
  </si>
  <si>
    <t>Failed Checks</t>
  </si>
  <si>
    <t>Overall Status</t>
  </si>
  <si>
    <t>Cashbook Closing Balance</t>
  </si>
  <si>
    <t>Prepayment Feb24 Expense</t>
  </si>
  <si>
    <t>Prepayment Remaining Balance</t>
  </si>
  <si>
    <t>Source Note</t>
  </si>
  <si>
    <t>Tesco PLC 2024 Annual Report used as public company reference. Invoice-level AP, AR, payments, cashbook, aging, journals, accruals, and prepayments are modelled for portfolio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</si>
</sst>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3" fontId="0" fillId="0" borderId="0" xfId="0" applyNumberFormat="1"/>
    <xf numFmtId="17" fontId="0" fillId="0" borderId="0" xfId="0" applyNumberFormat="1"/>
    <xf numFmtId="0" fontId="0" fillId="0" borderId="0" xfId="0" quotePrefix="1"/>
    <xf numFmtId="16" fontId="0" fillId="0" borderId="0" xfId="0" applyNumberFormat="1"/>
    <xf numFmtId="3" fontId="0" fillId="0" borderId="0" xfId="0" quotePrefix="1" applyNumberFormat="1"/>
    <xf numFmtId="0" fontId="0" fillId="0" borderId="0" xfId="0" pivotButton="1"/>
    <xf numFmtId="0" fontId="4" fillId="0" borderId="0" xfId="0" applyFont="1"/>
    <xf numFmtId="43" fontId="0" fillId="0" borderId="0" xfId="0" quotePrefix="1" applyNumberFormat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(* #,##0_);_(* \(#,##0\);_(* &quot;-&quot;??_);_(@_)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(* #,##0_);_(* \(#,##0\);_(* &quot;-&quot;??_);_(@_)"/>
    </dxf>
    <dxf>
      <numFmt numFmtId="20" formatCode="d\-mmm\-yy"/>
    </dxf>
    <dxf>
      <numFmt numFmtId="1" formatCode="0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20" formatCode="d\-mmm\-yy"/>
    </dxf>
    <dxf>
      <numFmt numFmtId="164" formatCode="_(* #,##0_);_(* \(#,##0\);_(* &quot;-&quot;??_);_(@_)"/>
    </dxf>
    <dxf>
      <numFmt numFmtId="20" formatCode="d\-mmm\-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Operations &amp; Month-End Reporting.xlsx]Pivot_Reports!PivotTable1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 Outstanding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Pivot_Reports!$B$3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Pivot_Reports!$A$4:$A$22</c:f>
              <c:strCache>
                <c:ptCount val="18"/>
                <c:pt idx="0">
                  <c:v>ABC Office Supplies</c:v>
                </c:pt>
                <c:pt idx="1">
                  <c:v>Apex Consulting</c:v>
                </c:pt>
                <c:pt idx="2">
                  <c:v>Apex Professional Services</c:v>
                </c:pt>
                <c:pt idx="3">
                  <c:v>Bright Marketing</c:v>
                </c:pt>
                <c:pt idx="4">
                  <c:v>BrightClean Facilities</c:v>
                </c:pt>
                <c:pt idx="5">
                  <c:v>CloudWorks Software Ltd</c:v>
                </c:pt>
                <c:pt idx="6">
                  <c:v>Delta Logistics</c:v>
                </c:pt>
                <c:pt idx="7">
                  <c:v>Global IT Services</c:v>
                </c:pt>
                <c:pt idx="8">
                  <c:v>Green Energy Co</c:v>
                </c:pt>
                <c:pt idx="9">
                  <c:v>GreenOffice Supplies</c:v>
                </c:pt>
                <c:pt idx="10">
                  <c:v>MediaEdge Marketing Ltd</c:v>
                </c:pt>
                <c:pt idx="11">
                  <c:v>Metro Utilities Ltd</c:v>
                </c:pt>
                <c:pt idx="12">
                  <c:v>Prime Logistics Services</c:v>
                </c:pt>
                <c:pt idx="13">
                  <c:v>Rapid Transport</c:v>
                </c:pt>
                <c:pt idx="14">
                  <c:v>Secure Systems</c:v>
                </c:pt>
                <c:pt idx="15">
                  <c:v>Shield Insurance Brokers</c:v>
                </c:pt>
                <c:pt idx="16">
                  <c:v>Smart Packaging</c:v>
                </c:pt>
                <c:pt idx="17">
                  <c:v>Tech Hardware Ltd</c:v>
                </c:pt>
              </c:strCache>
            </c:strRef>
          </c:cat>
          <c:val>
            <c:numRef>
              <c:f>Pivot_Reports!$B$4:$B$22</c:f>
              <c:numCache>
                <c:formatCode>_(* #,##0_);_(* \(#,##0\);_(* "-"??_);_(@_)</c:formatCode>
                <c:ptCount val="18"/>
                <c:pt idx="0">
                  <c:v>1450</c:v>
                </c:pt>
                <c:pt idx="1">
                  <c:v>4650</c:v>
                </c:pt>
                <c:pt idx="2">
                  <c:v>2900</c:v>
                </c:pt>
                <c:pt idx="3">
                  <c:v>2150</c:v>
                </c:pt>
                <c:pt idx="4">
                  <c:v>1900</c:v>
                </c:pt>
                <c:pt idx="5">
                  <c:v>950</c:v>
                </c:pt>
                <c:pt idx="6">
                  <c:v>15300</c:v>
                </c:pt>
                <c:pt idx="7">
                  <c:v>8450</c:v>
                </c:pt>
                <c:pt idx="8">
                  <c:v>4000</c:v>
                </c:pt>
                <c:pt idx="9">
                  <c:v>2500</c:v>
                </c:pt>
                <c:pt idx="10">
                  <c:v>7700</c:v>
                </c:pt>
                <c:pt idx="11">
                  <c:v>2025</c:v>
                </c:pt>
                <c:pt idx="12">
                  <c:v>7600</c:v>
                </c:pt>
                <c:pt idx="13">
                  <c:v>900</c:v>
                </c:pt>
                <c:pt idx="14">
                  <c:v>4250</c:v>
                </c:pt>
                <c:pt idx="15">
                  <c:v>9700</c:v>
                </c:pt>
                <c:pt idx="16">
                  <c:v>6600</c:v>
                </c:pt>
                <c:pt idx="17">
                  <c:v>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6-497C-B348-FB7FB9DF3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4126343"/>
        <c:axId val="1674128391"/>
      </c:barChart>
      <c:catAx>
        <c:axId val="1674126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128391"/>
        <c:crosses val="autoZero"/>
        <c:auto val="1"/>
        <c:lblAlgn val="ctr"/>
        <c:lblOffset val="100"/>
        <c:noMultiLvlLbl val="0"/>
      </c:catAx>
      <c:valAx>
        <c:axId val="1674128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126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Operations &amp; Month-End Reporting.xlsx]Pivot_Reports!PivotTable2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 Outstanding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Pivot_Reports!$F$3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Pivot_Reports!$E$4:$E$18</c:f>
              <c:strCache>
                <c:ptCount val="14"/>
                <c:pt idx="0">
                  <c:v>Blue Retail</c:v>
                </c:pt>
                <c:pt idx="1">
                  <c:v>BluePeak Retail Group</c:v>
                </c:pt>
                <c:pt idx="2">
                  <c:v>City Market</c:v>
                </c:pt>
                <c:pt idx="3">
                  <c:v>ClearView Corporate Ltd</c:v>
                </c:pt>
                <c:pt idx="4">
                  <c:v>Horizon Online Stores</c:v>
                </c:pt>
                <c:pt idx="5">
                  <c:v>Mega Distributors</c:v>
                </c:pt>
                <c:pt idx="6">
                  <c:v>Nova Electronics</c:v>
                </c:pt>
                <c:pt idx="7">
                  <c:v>Nova Wholesale Ltd</c:v>
                </c:pt>
                <c:pt idx="8">
                  <c:v>Prime Wholesale</c:v>
                </c:pt>
                <c:pt idx="9">
                  <c:v>Retail Hub</c:v>
                </c:pt>
                <c:pt idx="10">
                  <c:v>Smart Retail</c:v>
                </c:pt>
                <c:pt idx="11">
                  <c:v>Tech Bazaar</c:v>
                </c:pt>
                <c:pt idx="12">
                  <c:v>Urban Stores</c:v>
                </c:pt>
                <c:pt idx="13">
                  <c:v>Value Stores</c:v>
                </c:pt>
              </c:strCache>
            </c:strRef>
          </c:cat>
          <c:val>
            <c:numRef>
              <c:f>Pivot_Reports!$F$4:$F$18</c:f>
              <c:numCache>
                <c:formatCode>#,##0</c:formatCode>
                <c:ptCount val="14"/>
                <c:pt idx="0">
                  <c:v>8200</c:v>
                </c:pt>
                <c:pt idx="1">
                  <c:v>4250</c:v>
                </c:pt>
                <c:pt idx="2">
                  <c:v>4400</c:v>
                </c:pt>
                <c:pt idx="3">
                  <c:v>14500</c:v>
                </c:pt>
                <c:pt idx="4">
                  <c:v>3200</c:v>
                </c:pt>
                <c:pt idx="5">
                  <c:v>2450</c:v>
                </c:pt>
                <c:pt idx="6">
                  <c:v>5100</c:v>
                </c:pt>
                <c:pt idx="7">
                  <c:v>6350</c:v>
                </c:pt>
                <c:pt idx="8">
                  <c:v>15150</c:v>
                </c:pt>
                <c:pt idx="9">
                  <c:v>1650</c:v>
                </c:pt>
                <c:pt idx="10">
                  <c:v>8000</c:v>
                </c:pt>
                <c:pt idx="11">
                  <c:v>8300</c:v>
                </c:pt>
                <c:pt idx="12">
                  <c:v>4500</c:v>
                </c:pt>
                <c:pt idx="13">
                  <c:v>10200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1-4D6E-93D0-0D7333D8F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5788551"/>
        <c:axId val="1295790599"/>
      </c:barChart>
      <c:catAx>
        <c:axId val="1295788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790599"/>
        <c:crosses val="autoZero"/>
        <c:auto val="1"/>
        <c:lblAlgn val="ctr"/>
        <c:lblOffset val="100"/>
        <c:noMultiLvlLbl val="0"/>
      </c:catAx>
      <c:valAx>
        <c:axId val="1295790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78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Operations &amp; Month-End Reporting.xlsx]Pivot_Reports!PivotTable3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Invoice Status by AP/AR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Pivot_Reports!$J$3:$J$4</c:f>
              <c:strCache>
                <c:ptCount val="1"/>
                <c:pt idx="0">
                  <c:v>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Pivot_Reports!$I$5:$I$8</c:f>
              <c:strCache>
                <c:ptCount val="3"/>
                <c:pt idx="0">
                  <c:v>Closed</c:v>
                </c:pt>
                <c:pt idx="1">
                  <c:v>Open</c:v>
                </c:pt>
                <c:pt idx="2">
                  <c:v>Partially Paid</c:v>
                </c:pt>
              </c:strCache>
            </c:strRef>
          </c:cat>
          <c:val>
            <c:numRef>
              <c:f>Pivot_Reports!$J$5:$J$8</c:f>
              <c:numCache>
                <c:formatCode>General</c:formatCode>
                <c:ptCount val="3"/>
                <c:pt idx="0">
                  <c:v>16</c:v>
                </c:pt>
                <c:pt idx="1">
                  <c:v>32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B-4A9A-BFC8-2FB4A8C50E43}"/>
            </c:ext>
          </c:extLst>
        </c:ser>
        <c:ser>
          <c:idx val="1"/>
          <c:order val="1"/>
          <c:tx>
            <c:strRef>
              <c:f>Pivot_Reports!$K$3:$K$4</c:f>
              <c:strCache>
                <c:ptCount val="1"/>
                <c:pt idx="0">
                  <c:v>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Pivot_Reports!$I$5:$I$8</c:f>
              <c:strCache>
                <c:ptCount val="3"/>
                <c:pt idx="0">
                  <c:v>Closed</c:v>
                </c:pt>
                <c:pt idx="1">
                  <c:v>Open</c:v>
                </c:pt>
                <c:pt idx="2">
                  <c:v>Partially Paid</c:v>
                </c:pt>
              </c:strCache>
            </c:strRef>
          </c:cat>
          <c:val>
            <c:numRef>
              <c:f>Pivot_Reports!$K$5:$K$8</c:f>
              <c:numCache>
                <c:formatCode>General</c:formatCode>
                <c:ptCount val="3"/>
                <c:pt idx="0">
                  <c:v>15</c:v>
                </c:pt>
                <c:pt idx="1">
                  <c:v>18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5B-4A9A-BFC8-2FB4A8C50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397831"/>
        <c:axId val="1296399879"/>
      </c:barChart>
      <c:catAx>
        <c:axId val="1296397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399879"/>
        <c:crosses val="autoZero"/>
        <c:auto val="1"/>
        <c:lblAlgn val="ctr"/>
        <c:lblOffset val="100"/>
        <c:noMultiLvlLbl val="0"/>
      </c:catAx>
      <c:valAx>
        <c:axId val="129639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39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Operations &amp; Month-End Reporting.xlsx]Pivot_Reports!PivotTable4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Inflow vs Cash Outflow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Pivot_Reports!$J$12</c:f>
              <c:strCache>
                <c:ptCount val="1"/>
                <c:pt idx="0">
                  <c:v>Cash Outflow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Pivot_Reports!$I$13:$I$16</c:f>
              <c:strCache>
                <c:ptCount val="3"/>
                <c:pt idx="0">
                  <c:v>Opening</c:v>
                </c:pt>
                <c:pt idx="1">
                  <c:v>Payment</c:v>
                </c:pt>
                <c:pt idx="2">
                  <c:v>Receipt</c:v>
                </c:pt>
              </c:strCache>
            </c:strRef>
          </c:cat>
          <c:val>
            <c:numRef>
              <c:f>Pivot_Reports!$J$13:$J$16</c:f>
              <c:numCache>
                <c:formatCode>General</c:formatCode>
                <c:ptCount val="3"/>
                <c:pt idx="0">
                  <c:v>0</c:v>
                </c:pt>
                <c:pt idx="1">
                  <c:v>45350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D-47AC-B807-2CA0173E412B}"/>
            </c:ext>
          </c:extLst>
        </c:ser>
        <c:ser>
          <c:idx val="1"/>
          <c:order val="1"/>
          <c:tx>
            <c:strRef>
              <c:f>Pivot_Reports!$K$12</c:f>
              <c:strCache>
                <c:ptCount val="1"/>
                <c:pt idx="0">
                  <c:v>Cash Inflow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Pivot_Reports!$I$13:$I$16</c:f>
              <c:strCache>
                <c:ptCount val="3"/>
                <c:pt idx="0">
                  <c:v>Opening</c:v>
                </c:pt>
                <c:pt idx="1">
                  <c:v>Payment</c:v>
                </c:pt>
                <c:pt idx="2">
                  <c:v>Receipt</c:v>
                </c:pt>
              </c:strCache>
            </c:strRef>
          </c:cat>
          <c:val>
            <c:numRef>
              <c:f>Pivot_Reports!$K$13:$K$16</c:f>
              <c:numCache>
                <c:formatCode>General</c:formatCode>
                <c:ptCount val="3"/>
                <c:pt idx="0">
                  <c:v>5000</c:v>
                </c:pt>
                <c:pt idx="1">
                  <c:v>0</c:v>
                </c:pt>
                <c:pt idx="2">
                  <c:v>63950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CD-47AC-B807-2CA0173E4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193095"/>
        <c:axId val="1407195143"/>
      </c:barChart>
      <c:catAx>
        <c:axId val="1407193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95143"/>
        <c:crosses val="autoZero"/>
        <c:auto val="1"/>
        <c:lblAlgn val="ctr"/>
        <c:lblOffset val="100"/>
        <c:noMultiLvlLbl val="0"/>
      </c:catAx>
      <c:valAx>
        <c:axId val="1407195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93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2895600</xdr:colOff>
      <xdr:row>6</xdr:row>
      <xdr:rowOff>180975</xdr:rowOff>
    </xdr:from>
    <xdr:to>
      <xdr:col>8</xdr:col>
      <xdr:colOff>523875</xdr:colOff>
      <xdr:row>21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DAA962-A217-DFE1-C557-971218C31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352425</xdr:colOff>
      <xdr:row>6</xdr:row>
      <xdr:rowOff>171450</xdr:rowOff>
    </xdr:from>
    <xdr:to>
      <xdr:col>17</xdr:col>
      <xdr:colOff>47625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3F3CCF-133D-4566-467C-7A3C750DCDBB}"/>
            </a:ext>
            <a:ext uri="{147F2762-F138-4A5C-976F-8EAC2B608ADB}">
              <a16:predDERef xmlns:a16="http://schemas.microsoft.com/office/drawing/2014/main" pred="{6ADAA962-A217-DFE1-C557-971218C31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2905125</xdr:colOff>
      <xdr:row>23</xdr:row>
      <xdr:rowOff>9525</xdr:rowOff>
    </xdr:from>
    <xdr:to>
      <xdr:col>8</xdr:col>
      <xdr:colOff>533400</xdr:colOff>
      <xdr:row>37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6CCCA7-103F-0356-93D6-EFAFBAEA51F8}"/>
            </a:ext>
            <a:ext uri="{147F2762-F138-4A5C-976F-8EAC2B608ADB}">
              <a16:predDERef xmlns:a16="http://schemas.microsoft.com/office/drawing/2014/main" pred="{443F3CCF-133D-4566-467C-7A3C750DC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314325</xdr:colOff>
      <xdr:row>22</xdr:row>
      <xdr:rowOff>152400</xdr:rowOff>
    </xdr:from>
    <xdr:to>
      <xdr:col>17</xdr:col>
      <xdr:colOff>9525</xdr:colOff>
      <xdr:row>37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E7A630-F196-75B6-1E27-F601903F3755}"/>
            </a:ext>
            <a:ext uri="{147F2762-F138-4A5C-976F-8EAC2B608ADB}">
              <a16:predDERef xmlns:a16="http://schemas.microsoft.com/office/drawing/2014/main" pred="{FE6CCCA7-103F-0356-93D6-EFAFBAEA5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92627974537" createdVersion="8" refreshedVersion="8" minRefreshableVersion="3" recordCount="44" xr:uid="{3ADA7236-089C-4BB2-B05F-AB86EC030887}">
  <cacheSource type="worksheet">
    <worksheetSource name="Table5"/>
  </cacheSource>
  <cacheFields count="7">
    <cacheField name="Supplier_ID" numFmtId="0">
      <sharedItems/>
    </cacheField>
    <cacheField name="Supplier_Name" numFmtId="0">
      <sharedItems count="18">
        <s v="Tech Hardware Ltd"/>
        <s v="Rapid Transport"/>
        <s v="Global IT Services"/>
        <s v="Delta Logistics"/>
        <s v="Green Energy Co"/>
        <s v="CloudWorks Software Ltd"/>
        <s v="Prime Logistics Services"/>
        <s v="BrightClean Facilities"/>
        <s v="Apex Professional Services"/>
        <s v="GreenOffice Supplies"/>
        <s v="MediaEdge Marketing Ltd"/>
        <s v="ABC Office Supplies"/>
        <s v="Secure Systems"/>
        <s v="Apex Consulting"/>
        <s v="Smart Packaging"/>
        <s v="Metro Utilities Ltd"/>
        <s v="Shield Insurance Brokers"/>
        <s v="Bright Marketing"/>
      </sharedItems>
    </cacheField>
    <cacheField name="Invoice_ID" numFmtId="0">
      <sharedItems/>
    </cacheField>
    <cacheField name="Due_Date" numFmtId="15">
      <sharedItems containsSemiMixedTypes="0" containsNonDate="0" containsDate="1" containsString="0" minDate="2024-02-04T00:00:00" maxDate="2024-04-22T00:00:00"/>
    </cacheField>
    <cacheField name="Balance" numFmtId="164">
      <sharedItems containsSemiMixedTypes="0" containsString="0" containsNumber="1" containsInteger="1" minValue="700" maxValue="4950"/>
    </cacheField>
    <cacheField name="Days_Overdue" numFmtId="0">
      <sharedItems containsSemiMixedTypes="0" containsString="0" containsNumber="1" containsInteger="1" minValue="0" maxValue="20"/>
    </cacheField>
    <cacheField name="Age_Bucket" numFmtId="0">
      <sharedItems count="2">
        <s v="1-30 Days"/>
        <s v="Curr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928869328702" createdVersion="8" refreshedVersion="8" minRefreshableVersion="3" recordCount="35" xr:uid="{4F6396AD-480B-4D54-A72E-DAAEDED2739E}">
  <cacheSource type="worksheet">
    <worksheetSource name="Table6"/>
  </cacheSource>
  <cacheFields count="7">
    <cacheField name="Customer_ID" numFmtId="0">
      <sharedItems/>
    </cacheField>
    <cacheField name="Customer_Name" numFmtId="0">
      <sharedItems count="14">
        <s v="Blue Retail"/>
        <s v="City Market"/>
        <s v="Value Stores"/>
        <s v="BluePeak Retail Group"/>
        <s v="Nova Wholesale Ltd"/>
        <s v="ClearView Corporate Ltd"/>
        <s v="Prime Wholesale"/>
        <s v="Smart Retail"/>
        <s v="Nova Electronics"/>
        <s v="Urban Stores"/>
        <s v="Tech Bazaar"/>
        <s v="Horizon Online Stores"/>
        <s v="Retail Hub"/>
        <s v="Mega Distributors"/>
      </sharedItems>
    </cacheField>
    <cacheField name="Invoice_ID" numFmtId="0">
      <sharedItems/>
    </cacheField>
    <cacheField name="Due_Date" numFmtId="15">
      <sharedItems containsSemiMixedTypes="0" containsNonDate="0" containsDate="1" containsString="0" minDate="2024-02-01T00:00:00" maxDate="2024-04-24T00:00:00"/>
    </cacheField>
    <cacheField name="Balance" numFmtId="3">
      <sharedItems containsSemiMixedTypes="0" containsString="0" containsNumber="1" containsInteger="1" minValue="1000" maxValue="5500"/>
    </cacheField>
    <cacheField name="Days_Overdue" numFmtId="0">
      <sharedItems containsSemiMixedTypes="0" containsString="0" containsNumber="1" containsInteger="1" minValue="0" maxValue="23"/>
    </cacheField>
    <cacheField name="Age_Bucket" numFmtId="0">
      <sharedItems count="2">
        <s v="1-30 Days"/>
        <s v="Curr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930318287035" createdVersion="8" refreshedVersion="8" minRefreshableVersion="3" recordCount="110" xr:uid="{7EB61EEF-75F4-4B12-ABAE-F220A35C4D1C}">
  <cacheSource type="worksheet">
    <worksheetSource name="Table3"/>
  </cacheSource>
  <cacheFields count="12">
    <cacheField name="Invoice_ID" numFmtId="0">
      <sharedItems/>
    </cacheField>
    <cacheField name="Date" numFmtId="15">
      <sharedItems containsSemiMixedTypes="0" containsNonDate="0" containsDate="1" containsString="0" minDate="2024-01-01T00:00:00" maxDate="2024-02-25T00:00:00"/>
    </cacheField>
    <cacheField name="Type" numFmtId="0">
      <sharedItems count="2">
        <s v="AP"/>
        <s v="AR"/>
      </sharedItems>
    </cacheField>
    <cacheField name="Party_ID" numFmtId="0">
      <sharedItems/>
    </cacheField>
    <cacheField name="Amount" numFmtId="164">
      <sharedItems containsSemiMixedTypes="0" containsString="0" containsNumber="1" containsInteger="1" minValue="700" maxValue="5800"/>
    </cacheField>
    <cacheField name="Due_Date" numFmtId="15">
      <sharedItems containsSemiMixedTypes="0" containsNonDate="0" containsDate="1" containsString="0" minDate="2024-01-31T00:00:00" maxDate="2024-04-24T00:00:00"/>
    </cacheField>
    <cacheField name="Status" numFmtId="0">
      <sharedItems count="3">
        <s v="Closed"/>
        <s v="Partially Paid"/>
        <s v="Open"/>
      </sharedItems>
    </cacheField>
    <cacheField name="Party_Name" numFmtId="0">
      <sharedItems/>
    </cacheField>
    <cacheField name="Terms" numFmtId="0">
      <sharedItems containsSemiMixedTypes="0" containsString="0" containsNumber="1" containsInteger="1" minValue="30" maxValue="60"/>
    </cacheField>
    <cacheField name="Paid_Amount" numFmtId="0">
      <sharedItems containsSemiMixedTypes="0" containsString="0" containsNumber="1" containsInteger="1" minValue="0" maxValue="4600"/>
    </cacheField>
    <cacheField name="Balance" numFmtId="0">
      <sharedItems containsSemiMixedTypes="0" containsString="0" containsNumber="1" containsInteger="1" minValue="0" maxValue="5500"/>
    </cacheField>
    <cacheField name="Days_Overdue" numFmtId="0">
      <sharedItems containsSemiMixedTypes="0" containsString="0" containsNumber="1" containsInteger="1" minValue="0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932253009261" createdVersion="8" refreshedVersion="8" minRefreshableVersion="3" recordCount="61" xr:uid="{D02AC1BF-9BB4-43C4-B9BB-696FA1C48002}">
  <cacheSource type="worksheet">
    <worksheetSource name="Table7"/>
  </cacheSource>
  <cacheFields count="6">
    <cacheField name="Date" numFmtId="15">
      <sharedItems containsSemiMixedTypes="0" containsNonDate="0" containsDate="1" containsString="0" minDate="2024-01-01T00:00:00" maxDate="2024-02-25T00:00:00"/>
    </cacheField>
    <cacheField name="Description" numFmtId="0">
      <sharedItems/>
    </cacheField>
    <cacheField name="Type" numFmtId="0">
      <sharedItems count="3">
        <s v="Opening"/>
        <s v="Payment"/>
        <s v="Receipt"/>
      </sharedItems>
    </cacheField>
    <cacheField name="Debit" numFmtId="0">
      <sharedItems containsSemiMixedTypes="0" containsString="0" containsNumber="1" containsInteger="1" minValue="0" maxValue="5000"/>
    </cacheField>
    <cacheField name="Credit" numFmtId="0">
      <sharedItems containsSemiMixedTypes="0" containsString="0" containsNumber="1" containsInteger="1" minValue="0" maxValue="4500"/>
    </cacheField>
    <cacheField name="Balance" numFmtId="0">
      <sharedItems containsSemiMixedTypes="0" containsString="0" containsNumber="1" containsInteger="1" minValue="3800" maxValue="24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SUP005"/>
    <x v="0"/>
    <s v="INV005"/>
    <d v="2024-02-05T00:00:00"/>
    <n v="1000"/>
    <n v="19"/>
    <x v="0"/>
  </r>
  <r>
    <s v="SUP008"/>
    <x v="1"/>
    <s v="INV007"/>
    <d v="2024-02-10T00:00:00"/>
    <n v="900"/>
    <n v="14"/>
    <x v="0"/>
  </r>
  <r>
    <s v="SUP002"/>
    <x v="2"/>
    <s v="INV009"/>
    <d v="2024-02-10T00:00:00"/>
    <n v="1400"/>
    <n v="14"/>
    <x v="0"/>
  </r>
  <r>
    <s v="SUP004"/>
    <x v="3"/>
    <s v="INV011"/>
    <d v="2024-03-13T00:00:00"/>
    <n v="3600"/>
    <n v="0"/>
    <x v="1"/>
  </r>
  <r>
    <s v="SUP006"/>
    <x v="4"/>
    <s v="INV013"/>
    <d v="2024-02-29T00:00:00"/>
    <n v="2200"/>
    <n v="0"/>
    <x v="1"/>
  </r>
  <r>
    <s v="SUP012"/>
    <x v="5"/>
    <s v="INV017"/>
    <d v="2024-02-18T00:00:00"/>
    <n v="950"/>
    <n v="6"/>
    <x v="0"/>
  </r>
  <r>
    <s v="SUP013"/>
    <x v="6"/>
    <s v="INV019"/>
    <d v="2024-03-07T00:00:00"/>
    <n v="1600"/>
    <n v="0"/>
    <x v="1"/>
  </r>
  <r>
    <s v="SUP014"/>
    <x v="7"/>
    <s v="INV021"/>
    <d v="2024-02-23T00:00:00"/>
    <n v="1100"/>
    <n v="1"/>
    <x v="0"/>
  </r>
  <r>
    <s v="SUP016"/>
    <x v="8"/>
    <s v="INV025"/>
    <d v="2024-02-28T00:00:00"/>
    <n v="1750"/>
    <n v="0"/>
    <x v="1"/>
  </r>
  <r>
    <s v="SUP017"/>
    <x v="9"/>
    <s v="INV027"/>
    <d v="2024-03-01T00:00:00"/>
    <n v="700"/>
    <n v="0"/>
    <x v="1"/>
  </r>
  <r>
    <s v="SUP018"/>
    <x v="10"/>
    <s v="INV029"/>
    <d v="2024-03-18T00:00:00"/>
    <n v="2150"/>
    <n v="0"/>
    <x v="1"/>
  </r>
  <r>
    <s v="SUP001"/>
    <x v="11"/>
    <s v="INV031"/>
    <d v="2024-03-05T00:00:00"/>
    <n v="1450"/>
    <n v="0"/>
    <x v="1"/>
  </r>
  <r>
    <s v="SUP002"/>
    <x v="2"/>
    <s v="INV032"/>
    <d v="2024-03-21T00:00:00"/>
    <n v="1700"/>
    <n v="0"/>
    <x v="1"/>
  </r>
  <r>
    <s v="SUP004"/>
    <x v="3"/>
    <s v="INV036"/>
    <d v="2024-04-09T00:00:00"/>
    <n v="4200"/>
    <n v="0"/>
    <x v="1"/>
  </r>
  <r>
    <s v="SUP006"/>
    <x v="4"/>
    <s v="INV039"/>
    <d v="2024-03-28T00:00:00"/>
    <n v="1800"/>
    <n v="0"/>
    <x v="1"/>
  </r>
  <r>
    <s v="SUP007"/>
    <x v="12"/>
    <s v="INV041"/>
    <d v="2024-03-15T00:00:00"/>
    <n v="1250"/>
    <n v="0"/>
    <x v="1"/>
  </r>
  <r>
    <s v="SUP009"/>
    <x v="13"/>
    <s v="INV044"/>
    <d v="2024-03-18T00:00:00"/>
    <n v="2100"/>
    <n v="0"/>
    <x v="1"/>
  </r>
  <r>
    <s v="SUP010"/>
    <x v="14"/>
    <s v="INV046"/>
    <d v="2024-04-04T00:00:00"/>
    <n v="1000"/>
    <n v="0"/>
    <x v="1"/>
  </r>
  <r>
    <s v="SUP011"/>
    <x v="15"/>
    <s v="INV047"/>
    <d v="2024-03-21T00:00:00"/>
    <n v="875"/>
    <n v="0"/>
    <x v="1"/>
  </r>
  <r>
    <s v="SUP013"/>
    <x v="6"/>
    <s v="INV051"/>
    <d v="2024-02-18T00:00:00"/>
    <n v="2750"/>
    <n v="6"/>
    <x v="0"/>
  </r>
  <r>
    <s v="SUP015"/>
    <x v="16"/>
    <s v="INV054"/>
    <d v="2024-03-07T00:00:00"/>
    <n v="4750"/>
    <n v="0"/>
    <x v="1"/>
  </r>
  <r>
    <s v="SUP016"/>
    <x v="8"/>
    <s v="INV056"/>
    <d v="2024-02-08T00:00:00"/>
    <n v="1150"/>
    <n v="16"/>
    <x v="0"/>
  </r>
  <r>
    <s v="SUP017"/>
    <x v="9"/>
    <s v="INV058"/>
    <d v="2024-02-10T00:00:00"/>
    <n v="950"/>
    <n v="14"/>
    <x v="0"/>
  </r>
  <r>
    <s v="SUP018"/>
    <x v="10"/>
    <s v="INV059"/>
    <d v="2024-02-26T00:00:00"/>
    <n v="3100"/>
    <n v="0"/>
    <x v="1"/>
  </r>
  <r>
    <s v="SUP002"/>
    <x v="2"/>
    <s v="INV063"/>
    <d v="2024-03-01T00:00:00"/>
    <n v="1650"/>
    <n v="0"/>
    <x v="1"/>
  </r>
  <r>
    <s v="SUP003"/>
    <x v="17"/>
    <s v="INV064"/>
    <d v="2024-02-16T00:00:00"/>
    <n v="1100"/>
    <n v="8"/>
    <x v="0"/>
  </r>
  <r>
    <s v="SUP004"/>
    <x v="3"/>
    <s v="INV066"/>
    <d v="2024-03-19T00:00:00"/>
    <n v="4300"/>
    <n v="0"/>
    <x v="1"/>
  </r>
  <r>
    <s v="SUP005"/>
    <x v="0"/>
    <s v="INV068"/>
    <d v="2024-02-20T00:00:00"/>
    <n v="1650"/>
    <n v="4"/>
    <x v="0"/>
  </r>
  <r>
    <s v="SUP007"/>
    <x v="12"/>
    <s v="INV071"/>
    <d v="2024-02-23T00:00:00"/>
    <n v="1400"/>
    <n v="1"/>
    <x v="0"/>
  </r>
  <r>
    <s v="SUP009"/>
    <x v="13"/>
    <s v="INV075"/>
    <d v="2024-02-27T00:00:00"/>
    <n v="1200"/>
    <n v="0"/>
    <x v="1"/>
  </r>
  <r>
    <s v="SUP010"/>
    <x v="14"/>
    <s v="INV076"/>
    <d v="2024-03-14T00:00:00"/>
    <n v="2700"/>
    <n v="0"/>
    <x v="1"/>
  </r>
  <r>
    <s v="SUP011"/>
    <x v="15"/>
    <s v="INV078"/>
    <d v="2024-03-01T00:00:00"/>
    <n v="1150"/>
    <n v="0"/>
    <x v="1"/>
  </r>
  <r>
    <s v="SUP013"/>
    <x v="6"/>
    <s v="INV081"/>
    <d v="2024-03-19T00:00:00"/>
    <n v="3250"/>
    <n v="0"/>
    <x v="1"/>
  </r>
  <r>
    <s v="SUP014"/>
    <x v="7"/>
    <s v="INV083"/>
    <d v="2024-03-06T00:00:00"/>
    <n v="800"/>
    <n v="0"/>
    <x v="1"/>
  </r>
  <r>
    <s v="SUP015"/>
    <x v="16"/>
    <s v="INV085"/>
    <d v="2024-04-07T00:00:00"/>
    <n v="4950"/>
    <n v="0"/>
    <x v="1"/>
  </r>
  <r>
    <s v="SUP017"/>
    <x v="9"/>
    <s v="INV088"/>
    <d v="2024-03-11T00:00:00"/>
    <n v="850"/>
    <n v="0"/>
    <x v="1"/>
  </r>
  <r>
    <s v="SUP018"/>
    <x v="10"/>
    <s v="INV091"/>
    <d v="2024-03-29T00:00:00"/>
    <n v="2450"/>
    <n v="0"/>
    <x v="1"/>
  </r>
  <r>
    <s v="SUP002"/>
    <x v="2"/>
    <s v="INV095"/>
    <d v="2024-04-02T00:00:00"/>
    <n v="3700"/>
    <n v="0"/>
    <x v="1"/>
  </r>
  <r>
    <s v="SUP003"/>
    <x v="17"/>
    <s v="INV097"/>
    <d v="2024-03-20T00:00:00"/>
    <n v="1050"/>
    <n v="0"/>
    <x v="1"/>
  </r>
  <r>
    <s v="SUP004"/>
    <x v="3"/>
    <s v="INV099"/>
    <d v="2024-04-21T00:00:00"/>
    <n v="3200"/>
    <n v="0"/>
    <x v="1"/>
  </r>
  <r>
    <s v="SUP005"/>
    <x v="0"/>
    <s v="INV101"/>
    <d v="2024-03-24T00:00:00"/>
    <n v="1800"/>
    <n v="0"/>
    <x v="1"/>
  </r>
  <r>
    <s v="SUP007"/>
    <x v="12"/>
    <s v="INV103"/>
    <d v="2024-02-04T00:00:00"/>
    <n v="1600"/>
    <n v="20"/>
    <x v="0"/>
  </r>
  <r>
    <s v="SUP009"/>
    <x v="13"/>
    <s v="INV107"/>
    <d v="2024-02-08T00:00:00"/>
    <n v="1350"/>
    <n v="16"/>
    <x v="0"/>
  </r>
  <r>
    <s v="SUP010"/>
    <x v="14"/>
    <s v="INV109"/>
    <d v="2024-02-25T00:00:00"/>
    <n v="2900"/>
    <n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CUS001"/>
    <x v="0"/>
    <s v="INV002"/>
    <d v="2024-02-01T00:00:00"/>
    <n v="1500"/>
    <n v="23"/>
    <x v="0"/>
  </r>
  <r>
    <s v="CUS005"/>
    <x v="1"/>
    <s v="INV012"/>
    <d v="2024-02-13T00:00:00"/>
    <n v="1150"/>
    <n v="11"/>
    <x v="0"/>
  </r>
  <r>
    <s v="CUS008"/>
    <x v="2"/>
    <s v="INV014"/>
    <d v="2024-03-16T00:00:00"/>
    <n v="4100"/>
    <n v="0"/>
    <x v="1"/>
  </r>
  <r>
    <s v="CUS011"/>
    <x v="3"/>
    <s v="INV016"/>
    <d v="2024-02-17T00:00:00"/>
    <n v="1850"/>
    <n v="7"/>
    <x v="0"/>
  </r>
  <r>
    <s v="CUS012"/>
    <x v="4"/>
    <s v="INV018"/>
    <d v="2024-03-05T00:00:00"/>
    <n v="3750"/>
    <n v="0"/>
    <x v="1"/>
  </r>
  <r>
    <s v="CUS014"/>
    <x v="5"/>
    <s v="INV022"/>
    <d v="2024-03-25T00:00:00"/>
    <n v="5200"/>
    <n v="0"/>
    <x v="1"/>
  </r>
  <r>
    <s v="CUS004"/>
    <x v="6"/>
    <s v="INV024"/>
    <d v="2024-03-27T00:00:00"/>
    <n v="1500"/>
    <n v="0"/>
    <x v="1"/>
  </r>
  <r>
    <s v="CUS007"/>
    <x v="7"/>
    <s v="INV028"/>
    <d v="2024-03-02T00:00:00"/>
    <n v="2200"/>
    <n v="0"/>
    <x v="1"/>
  </r>
  <r>
    <s v="CUS001"/>
    <x v="0"/>
    <s v="INV033"/>
    <d v="2024-03-07T00:00:00"/>
    <n v="3100"/>
    <n v="0"/>
    <x v="1"/>
  </r>
  <r>
    <s v="CUS002"/>
    <x v="8"/>
    <s v="INV035"/>
    <d v="2024-03-24T00:00:00"/>
    <n v="1600"/>
    <n v="0"/>
    <x v="1"/>
  </r>
  <r>
    <s v="CUS003"/>
    <x v="9"/>
    <s v="INV038"/>
    <d v="2024-03-12T00:00:00"/>
    <n v="2250"/>
    <n v="0"/>
    <x v="1"/>
  </r>
  <r>
    <s v="CUS004"/>
    <x v="6"/>
    <s v="INV040"/>
    <d v="2024-04-13T00:00:00"/>
    <n v="4800"/>
    <n v="0"/>
    <x v="1"/>
  </r>
  <r>
    <s v="CUS005"/>
    <x v="1"/>
    <s v="INV043"/>
    <d v="2024-03-17T00:00:00"/>
    <n v="1150"/>
    <n v="0"/>
    <x v="1"/>
  </r>
  <r>
    <s v="CUS007"/>
    <x v="7"/>
    <s v="INV048"/>
    <d v="2024-03-22T00:00:00"/>
    <n v="2950"/>
    <n v="0"/>
    <x v="1"/>
  </r>
  <r>
    <s v="CUS008"/>
    <x v="2"/>
    <s v="INV050"/>
    <d v="2024-04-23T00:00:00"/>
    <n v="3100"/>
    <n v="0"/>
    <x v="1"/>
  </r>
  <r>
    <s v="CUS010"/>
    <x v="10"/>
    <s v="INV052"/>
    <d v="2024-02-19T00:00:00"/>
    <n v="2000"/>
    <n v="5"/>
    <x v="0"/>
  </r>
  <r>
    <s v="CUS011"/>
    <x v="3"/>
    <s v="INV055"/>
    <d v="2024-02-07T00:00:00"/>
    <n v="2400"/>
    <n v="17"/>
    <x v="0"/>
  </r>
  <r>
    <s v="CUS013"/>
    <x v="11"/>
    <s v="INV060"/>
    <d v="2024-02-12T00:00:00"/>
    <n v="1000"/>
    <n v="12"/>
    <x v="0"/>
  </r>
  <r>
    <s v="CUS014"/>
    <x v="5"/>
    <s v="INV062"/>
    <d v="2024-03-15T00:00:00"/>
    <n v="5500"/>
    <n v="0"/>
    <x v="1"/>
  </r>
  <r>
    <s v="CUS002"/>
    <x v="8"/>
    <s v="INV067"/>
    <d v="2024-03-05T00:00:00"/>
    <n v="1750"/>
    <n v="0"/>
    <x v="1"/>
  </r>
  <r>
    <s v="CUS003"/>
    <x v="9"/>
    <s v="INV070"/>
    <d v="2024-02-22T00:00:00"/>
    <n v="2250"/>
    <n v="2"/>
    <x v="0"/>
  </r>
  <r>
    <s v="CUS004"/>
    <x v="6"/>
    <s v="INV072"/>
    <d v="2024-03-25T00:00:00"/>
    <n v="4250"/>
    <n v="0"/>
    <x v="1"/>
  </r>
  <r>
    <s v="CUS005"/>
    <x v="1"/>
    <s v="INV074"/>
    <d v="2024-02-26T00:00:00"/>
    <n v="2100"/>
    <n v="0"/>
    <x v="1"/>
  </r>
  <r>
    <s v="CUS009"/>
    <x v="12"/>
    <s v="INV079"/>
    <d v="2024-03-02T00:00:00"/>
    <n v="1650"/>
    <n v="0"/>
    <x v="1"/>
  </r>
  <r>
    <s v="CUS010"/>
    <x v="10"/>
    <s v="INV082"/>
    <d v="2024-03-20T00:00:00"/>
    <n v="2900"/>
    <n v="0"/>
    <x v="1"/>
  </r>
  <r>
    <s v="CUS012"/>
    <x v="4"/>
    <s v="INV087"/>
    <d v="2024-03-25T00:00:00"/>
    <n v="2600"/>
    <n v="0"/>
    <x v="1"/>
  </r>
  <r>
    <s v="CUS013"/>
    <x v="11"/>
    <s v="INV089"/>
    <d v="2024-03-12T00:00:00"/>
    <n v="2200"/>
    <n v="0"/>
    <x v="1"/>
  </r>
  <r>
    <s v="CUS014"/>
    <x v="5"/>
    <s v="INV090"/>
    <d v="2024-04-12T00:00:00"/>
    <n v="3800"/>
    <n v="0"/>
    <x v="1"/>
  </r>
  <r>
    <s v="CUS001"/>
    <x v="0"/>
    <s v="INV092"/>
    <d v="2024-03-15T00:00:00"/>
    <n v="3600"/>
    <n v="0"/>
    <x v="1"/>
  </r>
  <r>
    <s v="CUS002"/>
    <x v="8"/>
    <s v="INV094"/>
    <d v="2024-04-01T00:00:00"/>
    <n v="1750"/>
    <n v="0"/>
    <x v="1"/>
  </r>
  <r>
    <s v="CUS004"/>
    <x v="6"/>
    <s v="INV098"/>
    <d v="2024-04-20T00:00:00"/>
    <n v="4600"/>
    <n v="0"/>
    <x v="1"/>
  </r>
  <r>
    <s v="CUS006"/>
    <x v="13"/>
    <s v="INV102"/>
    <d v="2024-04-09T00:00:00"/>
    <n v="2450"/>
    <n v="0"/>
    <x v="1"/>
  </r>
  <r>
    <s v="CUS007"/>
    <x v="7"/>
    <s v="INV104"/>
    <d v="2024-02-05T00:00:00"/>
    <n v="2850"/>
    <n v="19"/>
    <x v="0"/>
  </r>
  <r>
    <s v="CUS008"/>
    <x v="2"/>
    <s v="INV106"/>
    <d v="2024-03-08T00:00:00"/>
    <n v="3000"/>
    <n v="0"/>
    <x v="1"/>
  </r>
  <r>
    <s v="CUS010"/>
    <x v="10"/>
    <s v="INV110"/>
    <d v="2024-02-26T00:00:00"/>
    <n v="3400"/>
    <n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INV001"/>
    <d v="2024-01-01T00:00:00"/>
    <x v="0"/>
    <s v="SUP001"/>
    <n v="1200"/>
    <d v="2024-01-31T00:00:00"/>
    <x v="0"/>
    <s v="ABC Office Supplies"/>
    <n v="30"/>
    <n v="1200"/>
    <n v="0"/>
    <n v="0"/>
  </r>
  <r>
    <s v="INV002"/>
    <d v="2024-01-02T00:00:00"/>
    <x v="1"/>
    <s v="CUS001"/>
    <n v="2500"/>
    <d v="2024-02-01T00:00:00"/>
    <x v="1"/>
    <s v="Blue Retail"/>
    <n v="30"/>
    <n v="1000"/>
    <n v="1500"/>
    <n v="23"/>
  </r>
  <r>
    <s v="INV003"/>
    <d v="2024-01-03T00:00:00"/>
    <x v="0"/>
    <s v="SUP003"/>
    <n v="800"/>
    <d v="2024-02-02T00:00:00"/>
    <x v="0"/>
    <s v="Bright Marketing"/>
    <n v="30"/>
    <n v="800"/>
    <n v="0"/>
    <n v="0"/>
  </r>
  <r>
    <s v="INV004"/>
    <d v="2024-01-05T00:00:00"/>
    <x v="1"/>
    <s v="CUS004"/>
    <n v="3200"/>
    <d v="2024-02-04T00:00:00"/>
    <x v="0"/>
    <s v="Prime Wholesale"/>
    <n v="60"/>
    <n v="3200"/>
    <n v="0"/>
    <n v="0"/>
  </r>
  <r>
    <s v="INV005"/>
    <d v="2024-01-06T00:00:00"/>
    <x v="0"/>
    <s v="SUP005"/>
    <n v="1500"/>
    <d v="2024-02-05T00:00:00"/>
    <x v="1"/>
    <s v="Tech Hardware Ltd"/>
    <n v="30"/>
    <n v="500"/>
    <n v="1000"/>
    <n v="19"/>
  </r>
  <r>
    <s v="INV006"/>
    <d v="2024-01-08T00:00:00"/>
    <x v="1"/>
    <s v="CUS002"/>
    <n v="2100"/>
    <d v="2024-02-07T00:00:00"/>
    <x v="0"/>
    <s v="Nova Electronics"/>
    <n v="45"/>
    <n v="2100"/>
    <n v="0"/>
    <n v="0"/>
  </r>
  <r>
    <s v="INV007"/>
    <d v="2024-01-09T00:00:00"/>
    <x v="0"/>
    <s v="SUP008"/>
    <n v="900"/>
    <d v="2024-02-10T00:00:00"/>
    <x v="2"/>
    <s v="Rapid Transport"/>
    <n v="60"/>
    <n v="0"/>
    <n v="900"/>
    <n v="14"/>
  </r>
  <r>
    <s v="INV008"/>
    <d v="2024-01-10T00:00:00"/>
    <x v="1"/>
    <s v="CUS006"/>
    <n v="1800"/>
    <d v="2024-02-11T00:00:00"/>
    <x v="0"/>
    <s v="Mega Distributors"/>
    <n v="45"/>
    <n v="1800"/>
    <n v="0"/>
    <n v="0"/>
  </r>
  <r>
    <s v="INV009"/>
    <d v="2024-01-11T00:00:00"/>
    <x v="0"/>
    <s v="SUP002"/>
    <n v="2400"/>
    <d v="2024-02-10T00:00:00"/>
    <x v="1"/>
    <s v="Global IT Services"/>
    <n v="45"/>
    <n v="1000"/>
    <n v="1400"/>
    <n v="14"/>
  </r>
  <r>
    <s v="INV010"/>
    <d v="2024-01-12T00:00:00"/>
    <x v="1"/>
    <s v="CUS003"/>
    <n v="2700"/>
    <d v="2024-02-11T00:00:00"/>
    <x v="0"/>
    <s v="Urban Stores"/>
    <n v="30"/>
    <n v="2700"/>
    <n v="0"/>
    <n v="0"/>
  </r>
  <r>
    <s v="INV011"/>
    <d v="2024-01-13T00:00:00"/>
    <x v="0"/>
    <s v="SUP004"/>
    <n v="3600"/>
    <d v="2024-03-13T00:00:00"/>
    <x v="2"/>
    <s v="Delta Logistics"/>
    <n v="60"/>
    <n v="0"/>
    <n v="3600"/>
    <n v="0"/>
  </r>
  <r>
    <s v="INV012"/>
    <d v="2024-01-14T00:00:00"/>
    <x v="1"/>
    <s v="CUS005"/>
    <n v="1950"/>
    <d v="2024-02-13T00:00:00"/>
    <x v="1"/>
    <s v="City Market"/>
    <n v="30"/>
    <n v="800"/>
    <n v="1150"/>
    <n v="11"/>
  </r>
  <r>
    <s v="INV013"/>
    <d v="2024-01-15T00:00:00"/>
    <x v="0"/>
    <s v="SUP006"/>
    <n v="2200"/>
    <d v="2024-02-29T00:00:00"/>
    <x v="2"/>
    <s v="Green Energy Co"/>
    <n v="45"/>
    <n v="0"/>
    <n v="2200"/>
    <n v="0"/>
  </r>
  <r>
    <s v="INV014"/>
    <d v="2024-01-16T00:00:00"/>
    <x v="1"/>
    <s v="CUS008"/>
    <n v="4100"/>
    <d v="2024-03-16T00:00:00"/>
    <x v="2"/>
    <s v="Value Stores"/>
    <n v="60"/>
    <n v="0"/>
    <n v="4100"/>
    <n v="0"/>
  </r>
  <r>
    <s v="INV015"/>
    <d v="2024-01-17T00:00:00"/>
    <x v="0"/>
    <s v="SUP011"/>
    <n v="1300"/>
    <d v="2024-02-16T00:00:00"/>
    <x v="0"/>
    <s v="Metro Utilities Ltd"/>
    <n v="30"/>
    <n v="1300"/>
    <n v="0"/>
    <n v="0"/>
  </r>
  <r>
    <s v="INV016"/>
    <d v="2024-01-18T00:00:00"/>
    <x v="1"/>
    <s v="CUS011"/>
    <n v="2850"/>
    <d v="2024-02-17T00:00:00"/>
    <x v="1"/>
    <s v="BluePeak Retail Group"/>
    <n v="30"/>
    <n v="1000"/>
    <n v="1850"/>
    <n v="7"/>
  </r>
  <r>
    <s v="INV017"/>
    <d v="2024-01-19T00:00:00"/>
    <x v="0"/>
    <s v="SUP012"/>
    <n v="950"/>
    <d v="2024-02-18T00:00:00"/>
    <x v="2"/>
    <s v="CloudWorks Software Ltd"/>
    <n v="30"/>
    <n v="0"/>
    <n v="950"/>
    <n v="6"/>
  </r>
  <r>
    <s v="INV018"/>
    <d v="2024-01-20T00:00:00"/>
    <x v="1"/>
    <s v="CUS012"/>
    <n v="3750"/>
    <d v="2024-03-05T00:00:00"/>
    <x v="2"/>
    <s v="Nova Wholesale Ltd"/>
    <n v="45"/>
    <n v="0"/>
    <n v="3750"/>
    <n v="0"/>
  </r>
  <r>
    <s v="INV019"/>
    <d v="2024-01-22T00:00:00"/>
    <x v="0"/>
    <s v="SUP013"/>
    <n v="2600"/>
    <d v="2024-03-07T00:00:00"/>
    <x v="1"/>
    <s v="Prime Logistics Services"/>
    <n v="45"/>
    <n v="1000"/>
    <n v="1600"/>
    <n v="0"/>
  </r>
  <r>
    <s v="INV020"/>
    <d v="2024-01-23T00:00:00"/>
    <x v="1"/>
    <s v="CUS013"/>
    <n v="1650"/>
    <d v="2024-02-22T00:00:00"/>
    <x v="0"/>
    <s v="Horizon Online Stores"/>
    <n v="30"/>
    <n v="1650"/>
    <n v="0"/>
    <n v="0"/>
  </r>
  <r>
    <s v="INV021"/>
    <d v="2024-01-24T00:00:00"/>
    <x v="0"/>
    <s v="SUP014"/>
    <n v="1100"/>
    <d v="2024-02-23T00:00:00"/>
    <x v="2"/>
    <s v="BrightClean Facilities"/>
    <n v="30"/>
    <n v="0"/>
    <n v="1100"/>
    <n v="1"/>
  </r>
  <r>
    <s v="INV022"/>
    <d v="2024-01-25T00:00:00"/>
    <x v="1"/>
    <s v="CUS014"/>
    <n v="5200"/>
    <d v="2024-03-25T00:00:00"/>
    <x v="2"/>
    <s v="ClearView Corporate Ltd"/>
    <n v="60"/>
    <n v="0"/>
    <n v="5200"/>
    <n v="0"/>
  </r>
  <r>
    <s v="INV023"/>
    <d v="2024-01-26T00:00:00"/>
    <x v="0"/>
    <s v="SUP015"/>
    <n v="4500"/>
    <d v="2024-03-26T00:00:00"/>
    <x v="0"/>
    <s v="Shield Insurance Brokers"/>
    <n v="60"/>
    <n v="4500"/>
    <n v="0"/>
    <n v="0"/>
  </r>
  <r>
    <s v="INV024"/>
    <d v="2024-01-27T00:00:00"/>
    <x v="1"/>
    <s v="CUS004"/>
    <n v="2900"/>
    <d v="2024-03-27T00:00:00"/>
    <x v="1"/>
    <s v="Prime Wholesale"/>
    <n v="60"/>
    <n v="1400"/>
    <n v="1500"/>
    <n v="0"/>
  </r>
  <r>
    <s v="INV025"/>
    <d v="2024-01-29T00:00:00"/>
    <x v="0"/>
    <s v="SUP016"/>
    <n v="1750"/>
    <d v="2024-02-28T00:00:00"/>
    <x v="2"/>
    <s v="Apex Professional Services"/>
    <n v="30"/>
    <n v="0"/>
    <n v="1750"/>
    <n v="0"/>
  </r>
  <r>
    <s v="INV026"/>
    <d v="2024-01-30T00:00:00"/>
    <x v="1"/>
    <s v="CUS006"/>
    <n v="2300"/>
    <d v="2024-03-15T00:00:00"/>
    <x v="0"/>
    <s v="Mega Distributors"/>
    <n v="45"/>
    <n v="2300"/>
    <n v="0"/>
    <n v="0"/>
  </r>
  <r>
    <s v="INV027"/>
    <d v="2024-01-31T00:00:00"/>
    <x v="0"/>
    <s v="SUP017"/>
    <n v="700"/>
    <d v="2024-03-01T00:00:00"/>
    <x v="2"/>
    <s v="GreenOffice Supplies"/>
    <n v="30"/>
    <n v="0"/>
    <n v="700"/>
    <n v="0"/>
  </r>
  <r>
    <s v="INV028"/>
    <d v="2024-02-01T00:00:00"/>
    <x v="1"/>
    <s v="CUS007"/>
    <n v="3400"/>
    <d v="2024-03-02T00:00:00"/>
    <x v="1"/>
    <s v="Smart Retail"/>
    <n v="30"/>
    <n v="1200"/>
    <n v="2200"/>
    <n v="0"/>
  </r>
  <r>
    <s v="INV029"/>
    <d v="2024-02-02T00:00:00"/>
    <x v="0"/>
    <s v="SUP018"/>
    <n v="2150"/>
    <d v="2024-03-18T00:00:00"/>
    <x v="2"/>
    <s v="MediaEdge Marketing Ltd"/>
    <n v="45"/>
    <n v="0"/>
    <n v="2150"/>
    <n v="0"/>
  </r>
  <r>
    <s v="INV030"/>
    <d v="2024-02-03T00:00:00"/>
    <x v="1"/>
    <s v="CUS009"/>
    <n v="1900"/>
    <d v="2024-03-04T00:00:00"/>
    <x v="0"/>
    <s v="Retail Hub"/>
    <n v="30"/>
    <n v="1900"/>
    <n v="0"/>
    <n v="0"/>
  </r>
  <r>
    <s v="INV031"/>
    <d v="2024-02-04T00:00:00"/>
    <x v="0"/>
    <s v="SUP001"/>
    <n v="1450"/>
    <d v="2024-03-05T00:00:00"/>
    <x v="2"/>
    <s v="ABC Office Supplies"/>
    <n v="30"/>
    <n v="0"/>
    <n v="1450"/>
    <n v="0"/>
  </r>
  <r>
    <s v="INV032"/>
    <d v="2024-02-05T00:00:00"/>
    <x v="0"/>
    <s v="SUP002"/>
    <n v="2800"/>
    <d v="2024-03-21T00:00:00"/>
    <x v="1"/>
    <s v="Global IT Services"/>
    <n v="45"/>
    <n v="1100"/>
    <n v="1700"/>
    <n v="0"/>
  </r>
  <r>
    <s v="INV033"/>
    <d v="2024-02-06T00:00:00"/>
    <x v="1"/>
    <s v="CUS001"/>
    <n v="3100"/>
    <d v="2024-03-07T00:00:00"/>
    <x v="2"/>
    <s v="Blue Retail"/>
    <n v="30"/>
    <n v="0"/>
    <n v="3100"/>
    <n v="0"/>
  </r>
  <r>
    <s v="INV034"/>
    <d v="2024-02-07T00:00:00"/>
    <x v="0"/>
    <s v="SUP003"/>
    <n v="950"/>
    <d v="2024-03-08T00:00:00"/>
    <x v="0"/>
    <s v="Bright Marketing"/>
    <n v="30"/>
    <n v="950"/>
    <n v="0"/>
    <n v="0"/>
  </r>
  <r>
    <s v="INV035"/>
    <d v="2024-02-08T00:00:00"/>
    <x v="1"/>
    <s v="CUS002"/>
    <n v="2600"/>
    <d v="2024-03-24T00:00:00"/>
    <x v="1"/>
    <s v="Nova Electronics"/>
    <n v="45"/>
    <n v="1000"/>
    <n v="1600"/>
    <n v="0"/>
  </r>
  <r>
    <s v="INV036"/>
    <d v="2024-02-09T00:00:00"/>
    <x v="0"/>
    <s v="SUP004"/>
    <n v="4200"/>
    <d v="2024-04-09T00:00:00"/>
    <x v="2"/>
    <s v="Delta Logistics"/>
    <n v="60"/>
    <n v="0"/>
    <n v="4200"/>
    <n v="0"/>
  </r>
  <r>
    <s v="INV037"/>
    <d v="2024-02-10T00:00:00"/>
    <x v="0"/>
    <s v="SUP005"/>
    <n v="1700"/>
    <d v="2024-03-11T00:00:00"/>
    <x v="0"/>
    <s v="Tech Hardware Ltd"/>
    <n v="30"/>
    <n v="1700"/>
    <n v="0"/>
    <n v="0"/>
  </r>
  <r>
    <s v="INV038"/>
    <d v="2024-02-11T00:00:00"/>
    <x v="1"/>
    <s v="CUS003"/>
    <n v="2250"/>
    <d v="2024-03-12T00:00:00"/>
    <x v="2"/>
    <s v="Urban Stores"/>
    <n v="30"/>
    <n v="0"/>
    <n v="2250"/>
    <n v="0"/>
  </r>
  <r>
    <s v="INV039"/>
    <d v="2024-02-12T00:00:00"/>
    <x v="0"/>
    <s v="SUP006"/>
    <n v="3300"/>
    <d v="2024-03-28T00:00:00"/>
    <x v="1"/>
    <s v="Green Energy Co"/>
    <n v="45"/>
    <n v="1500"/>
    <n v="1800"/>
    <n v="0"/>
  </r>
  <r>
    <s v="INV040"/>
    <d v="2024-02-13T00:00:00"/>
    <x v="1"/>
    <s v="CUS004"/>
    <n v="4800"/>
    <d v="2024-04-13T00:00:00"/>
    <x v="2"/>
    <s v="Prime Wholesale"/>
    <n v="60"/>
    <n v="0"/>
    <n v="4800"/>
    <n v="0"/>
  </r>
  <r>
    <s v="INV041"/>
    <d v="2024-02-14T00:00:00"/>
    <x v="0"/>
    <s v="SUP007"/>
    <n v="1250"/>
    <d v="2024-03-15T00:00:00"/>
    <x v="2"/>
    <s v="Secure Systems"/>
    <n v="30"/>
    <n v="0"/>
    <n v="1250"/>
    <n v="0"/>
  </r>
  <r>
    <s v="INV042"/>
    <d v="2024-02-15T00:00:00"/>
    <x v="0"/>
    <s v="SUP008"/>
    <n v="3900"/>
    <d v="2024-04-15T00:00:00"/>
    <x v="0"/>
    <s v="Rapid Transport"/>
    <n v="60"/>
    <n v="3900"/>
    <n v="0"/>
    <n v="0"/>
  </r>
  <r>
    <s v="INV043"/>
    <d v="2024-02-16T00:00:00"/>
    <x v="1"/>
    <s v="CUS005"/>
    <n v="1850"/>
    <d v="2024-03-17T00:00:00"/>
    <x v="1"/>
    <s v="City Market"/>
    <n v="30"/>
    <n v="700"/>
    <n v="1150"/>
    <n v="0"/>
  </r>
  <r>
    <s v="INV044"/>
    <d v="2024-02-17T00:00:00"/>
    <x v="0"/>
    <s v="SUP009"/>
    <n v="2100"/>
    <d v="2024-03-18T00:00:00"/>
    <x v="2"/>
    <s v="Apex Consulting"/>
    <n v="30"/>
    <n v="0"/>
    <n v="2100"/>
    <n v="0"/>
  </r>
  <r>
    <s v="INV045"/>
    <d v="2024-02-18T00:00:00"/>
    <x v="1"/>
    <s v="CUS006"/>
    <n v="3650"/>
    <d v="2024-04-03T00:00:00"/>
    <x v="0"/>
    <s v="Mega Distributors"/>
    <n v="45"/>
    <n v="3650"/>
    <n v="0"/>
    <n v="0"/>
  </r>
  <r>
    <s v="INV046"/>
    <d v="2024-02-19T00:00:00"/>
    <x v="0"/>
    <s v="SUP010"/>
    <n v="1600"/>
    <d v="2024-04-04T00:00:00"/>
    <x v="1"/>
    <s v="Smart Packaging"/>
    <n v="45"/>
    <n v="600"/>
    <n v="1000"/>
    <n v="0"/>
  </r>
  <r>
    <s v="INV047"/>
    <d v="2024-02-20T00:00:00"/>
    <x v="0"/>
    <s v="SUP011"/>
    <n v="875"/>
    <d v="2024-03-21T00:00:00"/>
    <x v="2"/>
    <s v="Metro Utilities Ltd"/>
    <n v="30"/>
    <n v="0"/>
    <n v="875"/>
    <n v="0"/>
  </r>
  <r>
    <s v="INV048"/>
    <d v="2024-02-21T00:00:00"/>
    <x v="1"/>
    <s v="CUS007"/>
    <n v="2950"/>
    <d v="2024-03-22T00:00:00"/>
    <x v="2"/>
    <s v="Smart Retail"/>
    <n v="30"/>
    <n v="0"/>
    <n v="2950"/>
    <n v="0"/>
  </r>
  <r>
    <s v="INV049"/>
    <d v="2024-02-22T00:00:00"/>
    <x v="0"/>
    <s v="SUP012"/>
    <n v="1350"/>
    <d v="2024-03-23T00:00:00"/>
    <x v="0"/>
    <s v="CloudWorks Software Ltd"/>
    <n v="30"/>
    <n v="1350"/>
    <n v="0"/>
    <n v="0"/>
  </r>
  <r>
    <s v="INV050"/>
    <d v="2024-02-23T00:00:00"/>
    <x v="1"/>
    <s v="CUS008"/>
    <n v="5100"/>
    <d v="2024-04-23T00:00:00"/>
    <x v="1"/>
    <s v="Value Stores"/>
    <n v="60"/>
    <n v="2000"/>
    <n v="3100"/>
    <n v="0"/>
  </r>
  <r>
    <s v="INV051"/>
    <d v="2024-01-04T00:00:00"/>
    <x v="0"/>
    <s v="SUP013"/>
    <n v="2750"/>
    <d v="2024-02-18T00:00:00"/>
    <x v="2"/>
    <s v="Prime Logistics Services"/>
    <n v="45"/>
    <n v="0"/>
    <n v="2750"/>
    <n v="6"/>
  </r>
  <r>
    <s v="INV052"/>
    <d v="2024-01-05T00:00:00"/>
    <x v="1"/>
    <s v="CUS010"/>
    <n v="3250"/>
    <d v="2024-02-19T00:00:00"/>
    <x v="1"/>
    <s v="Tech Bazaar"/>
    <n v="45"/>
    <n v="1250"/>
    <n v="2000"/>
    <n v="5"/>
  </r>
  <r>
    <s v="INV053"/>
    <d v="2024-01-06T00:00:00"/>
    <x v="0"/>
    <s v="SUP014"/>
    <n v="1200"/>
    <d v="2024-02-05T00:00:00"/>
    <x v="0"/>
    <s v="BrightClean Facilities"/>
    <n v="30"/>
    <n v="1200"/>
    <n v="0"/>
    <n v="0"/>
  </r>
  <r>
    <s v="INV054"/>
    <d v="2024-01-07T00:00:00"/>
    <x v="0"/>
    <s v="SUP015"/>
    <n v="4750"/>
    <d v="2024-03-07T00:00:00"/>
    <x v="2"/>
    <s v="Shield Insurance Brokers"/>
    <n v="60"/>
    <n v="0"/>
    <n v="4750"/>
    <n v="0"/>
  </r>
  <r>
    <s v="INV055"/>
    <d v="2024-01-08T00:00:00"/>
    <x v="1"/>
    <s v="CUS011"/>
    <n v="2400"/>
    <d v="2024-02-07T00:00:00"/>
    <x v="2"/>
    <s v="BluePeak Retail Group"/>
    <n v="30"/>
    <n v="0"/>
    <n v="2400"/>
    <n v="17"/>
  </r>
  <r>
    <s v="INV056"/>
    <d v="2024-01-09T00:00:00"/>
    <x v="0"/>
    <s v="SUP016"/>
    <n v="1850"/>
    <d v="2024-02-08T00:00:00"/>
    <x v="1"/>
    <s v="Apex Professional Services"/>
    <n v="30"/>
    <n v="700"/>
    <n v="1150"/>
    <n v="16"/>
  </r>
  <r>
    <s v="INV057"/>
    <d v="2024-01-10T00:00:00"/>
    <x v="1"/>
    <s v="CUS012"/>
    <n v="4600"/>
    <d v="2024-02-24T00:00:00"/>
    <x v="0"/>
    <s v="Nova Wholesale Ltd"/>
    <n v="45"/>
    <n v="4600"/>
    <n v="0"/>
    <n v="0"/>
  </r>
  <r>
    <s v="INV058"/>
    <d v="2024-01-11T00:00:00"/>
    <x v="0"/>
    <s v="SUP017"/>
    <n v="950"/>
    <d v="2024-02-10T00:00:00"/>
    <x v="2"/>
    <s v="GreenOffice Supplies"/>
    <n v="30"/>
    <n v="0"/>
    <n v="950"/>
    <n v="14"/>
  </r>
  <r>
    <s v="INV059"/>
    <d v="2024-01-12T00:00:00"/>
    <x v="0"/>
    <s v="SUP018"/>
    <n v="3100"/>
    <d v="2024-02-26T00:00:00"/>
    <x v="2"/>
    <s v="MediaEdge Marketing Ltd"/>
    <n v="45"/>
    <n v="0"/>
    <n v="3100"/>
    <n v="0"/>
  </r>
  <r>
    <s v="INV060"/>
    <d v="2024-01-13T00:00:00"/>
    <x v="1"/>
    <s v="CUS013"/>
    <n v="1900"/>
    <d v="2024-02-12T00:00:00"/>
    <x v="1"/>
    <s v="Horizon Online Stores"/>
    <n v="30"/>
    <n v="900"/>
    <n v="1000"/>
    <n v="12"/>
  </r>
  <r>
    <s v="INV061"/>
    <d v="2024-01-14T00:00:00"/>
    <x v="0"/>
    <s v="SUP001"/>
    <n v="1350"/>
    <d v="2024-02-13T00:00:00"/>
    <x v="0"/>
    <s v="ABC Office Supplies"/>
    <n v="30"/>
    <n v="1350"/>
    <n v="0"/>
    <n v="0"/>
  </r>
  <r>
    <s v="INV062"/>
    <d v="2024-01-15T00:00:00"/>
    <x v="1"/>
    <s v="CUS014"/>
    <n v="5500"/>
    <d v="2024-03-15T00:00:00"/>
    <x v="2"/>
    <s v="ClearView Corporate Ltd"/>
    <n v="60"/>
    <n v="0"/>
    <n v="5500"/>
    <n v="0"/>
  </r>
  <r>
    <s v="INV063"/>
    <d v="2024-01-16T00:00:00"/>
    <x v="0"/>
    <s v="SUP002"/>
    <n v="2650"/>
    <d v="2024-03-01T00:00:00"/>
    <x v="1"/>
    <s v="Global IT Services"/>
    <n v="45"/>
    <n v="1000"/>
    <n v="1650"/>
    <n v="0"/>
  </r>
  <r>
    <s v="INV064"/>
    <d v="2024-01-17T00:00:00"/>
    <x v="0"/>
    <s v="SUP003"/>
    <n v="1100"/>
    <d v="2024-02-16T00:00:00"/>
    <x v="2"/>
    <s v="Bright Marketing"/>
    <n v="30"/>
    <n v="0"/>
    <n v="1100"/>
    <n v="8"/>
  </r>
  <r>
    <s v="INV065"/>
    <d v="2024-01-18T00:00:00"/>
    <x v="1"/>
    <s v="CUS001"/>
    <n v="3750"/>
    <d v="2024-02-17T00:00:00"/>
    <x v="0"/>
    <s v="Blue Retail"/>
    <n v="30"/>
    <n v="3750"/>
    <n v="0"/>
    <n v="0"/>
  </r>
  <r>
    <s v="INV066"/>
    <d v="2024-01-19T00:00:00"/>
    <x v="0"/>
    <s v="SUP004"/>
    <n v="4300"/>
    <d v="2024-03-19T00:00:00"/>
    <x v="2"/>
    <s v="Delta Logistics"/>
    <n v="60"/>
    <n v="0"/>
    <n v="4300"/>
    <n v="0"/>
  </r>
  <r>
    <s v="INV067"/>
    <d v="2024-01-20T00:00:00"/>
    <x v="1"/>
    <s v="CUS002"/>
    <n v="2850"/>
    <d v="2024-03-05T00:00:00"/>
    <x v="1"/>
    <s v="Nova Electronics"/>
    <n v="45"/>
    <n v="1100"/>
    <n v="1750"/>
    <n v="0"/>
  </r>
  <r>
    <s v="INV068"/>
    <d v="2024-01-21T00:00:00"/>
    <x v="0"/>
    <s v="SUP005"/>
    <n v="1650"/>
    <d v="2024-02-20T00:00:00"/>
    <x v="2"/>
    <s v="Tech Hardware Ltd"/>
    <n v="30"/>
    <n v="0"/>
    <n v="1650"/>
    <n v="4"/>
  </r>
  <r>
    <s v="INV069"/>
    <d v="2024-01-22T00:00:00"/>
    <x v="0"/>
    <s v="SUP006"/>
    <n v="3500"/>
    <d v="2024-03-07T00:00:00"/>
    <x v="0"/>
    <s v="Green Energy Co"/>
    <n v="45"/>
    <n v="3500"/>
    <n v="0"/>
    <n v="0"/>
  </r>
  <r>
    <s v="INV070"/>
    <d v="2024-01-23T00:00:00"/>
    <x v="1"/>
    <s v="CUS003"/>
    <n v="2250"/>
    <d v="2024-02-22T00:00:00"/>
    <x v="2"/>
    <s v="Urban Stores"/>
    <n v="30"/>
    <n v="0"/>
    <n v="2250"/>
    <n v="2"/>
  </r>
  <r>
    <s v="INV071"/>
    <d v="2024-01-24T00:00:00"/>
    <x v="0"/>
    <s v="SUP007"/>
    <n v="1400"/>
    <d v="2024-02-23T00:00:00"/>
    <x v="2"/>
    <s v="Secure Systems"/>
    <n v="30"/>
    <n v="0"/>
    <n v="1400"/>
    <n v="1"/>
  </r>
  <r>
    <s v="INV072"/>
    <d v="2024-01-25T00:00:00"/>
    <x v="1"/>
    <s v="CUS004"/>
    <n v="4250"/>
    <d v="2024-03-25T00:00:00"/>
    <x v="2"/>
    <s v="Prime Wholesale"/>
    <n v="60"/>
    <n v="0"/>
    <n v="4250"/>
    <n v="0"/>
  </r>
  <r>
    <s v="INV073"/>
    <d v="2024-01-26T00:00:00"/>
    <x v="0"/>
    <s v="SUP008"/>
    <n v="3600"/>
    <d v="2024-03-26T00:00:00"/>
    <x v="0"/>
    <s v="Rapid Transport"/>
    <n v="60"/>
    <n v="3600"/>
    <n v="0"/>
    <n v="0"/>
  </r>
  <r>
    <s v="INV074"/>
    <d v="2024-01-27T00:00:00"/>
    <x v="1"/>
    <s v="CUS005"/>
    <n v="2100"/>
    <d v="2024-02-26T00:00:00"/>
    <x v="2"/>
    <s v="City Market"/>
    <n v="30"/>
    <n v="0"/>
    <n v="2100"/>
    <n v="0"/>
  </r>
  <r>
    <s v="INV075"/>
    <d v="2024-01-28T00:00:00"/>
    <x v="0"/>
    <s v="SUP009"/>
    <n v="1950"/>
    <d v="2024-02-27T00:00:00"/>
    <x v="1"/>
    <s v="Apex Consulting"/>
    <n v="30"/>
    <n v="750"/>
    <n v="1200"/>
    <n v="0"/>
  </r>
  <r>
    <s v="INV076"/>
    <d v="2024-01-29T00:00:00"/>
    <x v="0"/>
    <s v="SUP010"/>
    <n v="2700"/>
    <d v="2024-03-14T00:00:00"/>
    <x v="2"/>
    <s v="Smart Packaging"/>
    <n v="45"/>
    <n v="0"/>
    <n v="2700"/>
    <n v="0"/>
  </r>
  <r>
    <s v="INV077"/>
    <d v="2024-01-30T00:00:00"/>
    <x v="1"/>
    <s v="CUS006"/>
    <n v="3300"/>
    <d v="2024-03-15T00:00:00"/>
    <x v="0"/>
    <s v="Mega Distributors"/>
    <n v="45"/>
    <n v="3300"/>
    <n v="0"/>
    <n v="0"/>
  </r>
  <r>
    <s v="INV078"/>
    <d v="2024-01-31T00:00:00"/>
    <x v="0"/>
    <s v="SUP011"/>
    <n v="1150"/>
    <d v="2024-03-01T00:00:00"/>
    <x v="2"/>
    <s v="Metro Utilities Ltd"/>
    <n v="30"/>
    <n v="0"/>
    <n v="1150"/>
    <n v="0"/>
  </r>
  <r>
    <s v="INV079"/>
    <d v="2024-02-01T00:00:00"/>
    <x v="1"/>
    <s v="CUS009"/>
    <n v="2650"/>
    <d v="2024-03-02T00:00:00"/>
    <x v="1"/>
    <s v="Retail Hub"/>
    <n v="30"/>
    <n v="1000"/>
    <n v="1650"/>
    <n v="0"/>
  </r>
  <r>
    <s v="INV080"/>
    <d v="2024-02-02T00:00:00"/>
    <x v="0"/>
    <s v="SUP012"/>
    <n v="1500"/>
    <d v="2024-03-03T00:00:00"/>
    <x v="0"/>
    <s v="CloudWorks Software Ltd"/>
    <n v="30"/>
    <n v="1500"/>
    <n v="0"/>
    <n v="0"/>
  </r>
  <r>
    <s v="INV081"/>
    <d v="2024-02-03T00:00:00"/>
    <x v="0"/>
    <s v="SUP013"/>
    <n v="3250"/>
    <d v="2024-03-19T00:00:00"/>
    <x v="2"/>
    <s v="Prime Logistics Services"/>
    <n v="45"/>
    <n v="0"/>
    <n v="3250"/>
    <n v="0"/>
  </r>
  <r>
    <s v="INV082"/>
    <d v="2024-02-04T00:00:00"/>
    <x v="1"/>
    <s v="CUS010"/>
    <n v="2900"/>
    <d v="2024-03-20T00:00:00"/>
    <x v="2"/>
    <s v="Tech Bazaar"/>
    <n v="45"/>
    <n v="0"/>
    <n v="2900"/>
    <n v="0"/>
  </r>
  <r>
    <s v="INV083"/>
    <d v="2024-02-05T00:00:00"/>
    <x v="0"/>
    <s v="SUP014"/>
    <n v="1300"/>
    <d v="2024-03-06T00:00:00"/>
    <x v="1"/>
    <s v="BrightClean Facilities"/>
    <n v="30"/>
    <n v="500"/>
    <n v="800"/>
    <n v="0"/>
  </r>
  <r>
    <s v="INV084"/>
    <d v="2024-02-06T00:00:00"/>
    <x v="1"/>
    <s v="CUS011"/>
    <n v="3750"/>
    <d v="2024-03-07T00:00:00"/>
    <x v="0"/>
    <s v="BluePeak Retail Group"/>
    <n v="30"/>
    <n v="3750"/>
    <n v="0"/>
    <n v="0"/>
  </r>
  <r>
    <s v="INV085"/>
    <d v="2024-02-07T00:00:00"/>
    <x v="0"/>
    <s v="SUP015"/>
    <n v="4950"/>
    <d v="2024-04-07T00:00:00"/>
    <x v="2"/>
    <s v="Shield Insurance Brokers"/>
    <n v="60"/>
    <n v="0"/>
    <n v="4950"/>
    <n v="0"/>
  </r>
  <r>
    <s v="INV086"/>
    <d v="2024-02-08T00:00:00"/>
    <x v="0"/>
    <s v="SUP016"/>
    <n v="1600"/>
    <d v="2024-03-09T00:00:00"/>
    <x v="0"/>
    <s v="Apex Professional Services"/>
    <n v="30"/>
    <n v="1600"/>
    <n v="0"/>
    <n v="0"/>
  </r>
  <r>
    <s v="INV087"/>
    <d v="2024-02-09T00:00:00"/>
    <x v="1"/>
    <s v="CUS012"/>
    <n v="4400"/>
    <d v="2024-03-25T00:00:00"/>
    <x v="1"/>
    <s v="Nova Wholesale Ltd"/>
    <n v="45"/>
    <n v="1800"/>
    <n v="2600"/>
    <n v="0"/>
  </r>
  <r>
    <s v="INV088"/>
    <d v="2024-02-10T00:00:00"/>
    <x v="0"/>
    <s v="SUP017"/>
    <n v="850"/>
    <d v="2024-03-11T00:00:00"/>
    <x v="2"/>
    <s v="GreenOffice Supplies"/>
    <n v="30"/>
    <n v="0"/>
    <n v="850"/>
    <n v="0"/>
  </r>
  <r>
    <s v="INV089"/>
    <d v="2024-02-11T00:00:00"/>
    <x v="1"/>
    <s v="CUS013"/>
    <n v="2200"/>
    <d v="2024-03-12T00:00:00"/>
    <x v="2"/>
    <s v="Horizon Online Stores"/>
    <n v="30"/>
    <n v="0"/>
    <n v="2200"/>
    <n v="0"/>
  </r>
  <r>
    <s v="INV090"/>
    <d v="2024-02-12T00:00:00"/>
    <x v="1"/>
    <s v="CUS014"/>
    <n v="5800"/>
    <d v="2024-04-12T00:00:00"/>
    <x v="1"/>
    <s v="ClearView Corporate Ltd"/>
    <n v="60"/>
    <n v="2000"/>
    <n v="3800"/>
    <n v="0"/>
  </r>
  <r>
    <s v="INV091"/>
    <d v="2024-02-13T00:00:00"/>
    <x v="0"/>
    <s v="SUP018"/>
    <n v="2450"/>
    <d v="2024-03-29T00:00:00"/>
    <x v="2"/>
    <s v="MediaEdge Marketing Ltd"/>
    <n v="45"/>
    <n v="0"/>
    <n v="2450"/>
    <n v="0"/>
  </r>
  <r>
    <s v="INV092"/>
    <d v="2024-02-14T00:00:00"/>
    <x v="1"/>
    <s v="CUS001"/>
    <n v="3600"/>
    <d v="2024-03-15T00:00:00"/>
    <x v="2"/>
    <s v="Blue Retail"/>
    <n v="30"/>
    <n v="0"/>
    <n v="3600"/>
    <n v="0"/>
  </r>
  <r>
    <s v="INV093"/>
    <d v="2024-02-15T00:00:00"/>
    <x v="0"/>
    <s v="SUP001"/>
    <n v="1250"/>
    <d v="2024-03-16T00:00:00"/>
    <x v="0"/>
    <s v="ABC Office Supplies"/>
    <n v="30"/>
    <n v="1250"/>
    <n v="0"/>
    <n v="0"/>
  </r>
  <r>
    <s v="INV094"/>
    <d v="2024-02-16T00:00:00"/>
    <x v="1"/>
    <s v="CUS002"/>
    <n v="2950"/>
    <d v="2024-04-01T00:00:00"/>
    <x v="1"/>
    <s v="Nova Electronics"/>
    <n v="45"/>
    <n v="1200"/>
    <n v="1750"/>
    <n v="0"/>
  </r>
  <r>
    <s v="INV095"/>
    <d v="2024-02-17T00:00:00"/>
    <x v="0"/>
    <s v="SUP002"/>
    <n v="3700"/>
    <d v="2024-04-02T00:00:00"/>
    <x v="2"/>
    <s v="Global IT Services"/>
    <n v="45"/>
    <n v="0"/>
    <n v="3700"/>
    <n v="0"/>
  </r>
  <r>
    <s v="INV096"/>
    <d v="2024-02-18T00:00:00"/>
    <x v="1"/>
    <s v="CUS003"/>
    <n v="2400"/>
    <d v="2024-03-19T00:00:00"/>
    <x v="0"/>
    <s v="Urban Stores"/>
    <n v="30"/>
    <n v="2400"/>
    <n v="0"/>
    <n v="0"/>
  </r>
  <r>
    <s v="INV097"/>
    <d v="2024-02-19T00:00:00"/>
    <x v="0"/>
    <s v="SUP003"/>
    <n v="1050"/>
    <d v="2024-03-20T00:00:00"/>
    <x v="2"/>
    <s v="Bright Marketing"/>
    <n v="30"/>
    <n v="0"/>
    <n v="1050"/>
    <n v="0"/>
  </r>
  <r>
    <s v="INV098"/>
    <d v="2024-02-20T00:00:00"/>
    <x v="1"/>
    <s v="CUS004"/>
    <n v="4600"/>
    <d v="2024-04-20T00:00:00"/>
    <x v="2"/>
    <s v="Prime Wholesale"/>
    <n v="60"/>
    <n v="0"/>
    <n v="4600"/>
    <n v="0"/>
  </r>
  <r>
    <s v="INV099"/>
    <d v="2024-02-21T00:00:00"/>
    <x v="0"/>
    <s v="SUP004"/>
    <n v="5200"/>
    <d v="2024-04-21T00:00:00"/>
    <x v="1"/>
    <s v="Delta Logistics"/>
    <n v="60"/>
    <n v="2000"/>
    <n v="3200"/>
    <n v="0"/>
  </r>
  <r>
    <s v="INV100"/>
    <d v="2024-02-22T00:00:00"/>
    <x v="1"/>
    <s v="CUS005"/>
    <n v="2750"/>
    <d v="2024-03-23T00:00:00"/>
    <x v="0"/>
    <s v="City Market"/>
    <n v="30"/>
    <n v="2750"/>
    <n v="0"/>
    <n v="0"/>
  </r>
  <r>
    <s v="INV101"/>
    <d v="2024-02-23T00:00:00"/>
    <x v="0"/>
    <s v="SUP005"/>
    <n v="1800"/>
    <d v="2024-03-24T00:00:00"/>
    <x v="2"/>
    <s v="Tech Hardware Ltd"/>
    <n v="30"/>
    <n v="0"/>
    <n v="1800"/>
    <n v="0"/>
  </r>
  <r>
    <s v="INV102"/>
    <d v="2024-02-24T00:00:00"/>
    <x v="1"/>
    <s v="CUS006"/>
    <n v="3950"/>
    <d v="2024-04-09T00:00:00"/>
    <x v="1"/>
    <s v="Mega Distributors"/>
    <n v="45"/>
    <n v="1500"/>
    <n v="2450"/>
    <n v="0"/>
  </r>
  <r>
    <s v="INV103"/>
    <d v="2024-01-05T00:00:00"/>
    <x v="0"/>
    <s v="SUP007"/>
    <n v="1600"/>
    <d v="2024-02-04T00:00:00"/>
    <x v="2"/>
    <s v="Secure Systems"/>
    <n v="30"/>
    <n v="0"/>
    <n v="1600"/>
    <n v="20"/>
  </r>
  <r>
    <s v="INV104"/>
    <d v="2024-01-06T00:00:00"/>
    <x v="1"/>
    <s v="CUS007"/>
    <n v="2850"/>
    <d v="2024-02-05T00:00:00"/>
    <x v="2"/>
    <s v="Smart Retail"/>
    <n v="30"/>
    <n v="0"/>
    <n v="2850"/>
    <n v="19"/>
  </r>
  <r>
    <s v="INV105"/>
    <d v="2024-01-07T00:00:00"/>
    <x v="0"/>
    <s v="SUP008"/>
    <n v="4100"/>
    <d v="2024-03-07T00:00:00"/>
    <x v="0"/>
    <s v="Rapid Transport"/>
    <n v="60"/>
    <n v="4100"/>
    <n v="0"/>
    <n v="0"/>
  </r>
  <r>
    <s v="INV106"/>
    <d v="2024-01-08T00:00:00"/>
    <x v="1"/>
    <s v="CUS008"/>
    <n v="5300"/>
    <d v="2024-03-08T00:00:00"/>
    <x v="1"/>
    <s v="Value Stores"/>
    <n v="60"/>
    <n v="2300"/>
    <n v="3000"/>
    <n v="0"/>
  </r>
  <r>
    <s v="INV107"/>
    <d v="2024-01-09T00:00:00"/>
    <x v="0"/>
    <s v="SUP009"/>
    <n v="2250"/>
    <d v="2024-02-08T00:00:00"/>
    <x v="1"/>
    <s v="Apex Consulting"/>
    <n v="30"/>
    <n v="900"/>
    <n v="1350"/>
    <n v="16"/>
  </r>
  <r>
    <s v="INV108"/>
    <d v="2024-01-10T00:00:00"/>
    <x v="1"/>
    <s v="CUS009"/>
    <n v="1950"/>
    <d v="2024-02-09T00:00:00"/>
    <x v="0"/>
    <s v="Retail Hub"/>
    <n v="30"/>
    <n v="1950"/>
    <n v="0"/>
    <n v="0"/>
  </r>
  <r>
    <s v="INV109"/>
    <d v="2024-01-11T00:00:00"/>
    <x v="0"/>
    <s v="SUP010"/>
    <n v="2900"/>
    <d v="2024-02-25T00:00:00"/>
    <x v="2"/>
    <s v="Smart Packaging"/>
    <n v="45"/>
    <n v="0"/>
    <n v="2900"/>
    <n v="0"/>
  </r>
  <r>
    <s v="INV110"/>
    <d v="2024-01-12T00:00:00"/>
    <x v="1"/>
    <s v="CUS010"/>
    <n v="3400"/>
    <d v="2024-02-26T00:00:00"/>
    <x v="2"/>
    <s v="Tech Bazaar"/>
    <n v="45"/>
    <n v="0"/>
    <n v="340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d v="2024-01-01T00:00:00"/>
    <s v="Opening Balance"/>
    <x v="0"/>
    <n v="5000"/>
    <n v="0"/>
    <n v="5000"/>
  </r>
  <r>
    <d v="2024-01-15T00:00:00"/>
    <s v="Payment to supplier for INV001"/>
    <x v="1"/>
    <n v="0"/>
    <n v="1200"/>
    <n v="3800"/>
  </r>
  <r>
    <d v="2024-01-20T00:00:00"/>
    <s v="Payment received for INV002"/>
    <x v="2"/>
    <n v="1000"/>
    <n v="0"/>
    <n v="4800"/>
  </r>
  <r>
    <d v="2024-01-25T00:00:00"/>
    <s v="Payment to supplier INV003"/>
    <x v="1"/>
    <n v="0"/>
    <n v="800"/>
    <n v="4000"/>
  </r>
  <r>
    <d v="2024-01-28T00:00:00"/>
    <s v="Payment received for INV004"/>
    <x v="2"/>
    <n v="3200"/>
    <n v="0"/>
    <n v="7200"/>
  </r>
  <r>
    <d v="2024-01-30T00:00:00"/>
    <s v="Payment to supplier INV005"/>
    <x v="1"/>
    <n v="0"/>
    <n v="500"/>
    <n v="6700"/>
  </r>
  <r>
    <d v="2024-02-02T00:00:00"/>
    <s v="Payment received for INV006"/>
    <x v="2"/>
    <n v="2100"/>
    <n v="0"/>
    <n v="8800"/>
  </r>
  <r>
    <d v="2024-02-05T00:00:00"/>
    <s v="Payment received for INV008"/>
    <x v="2"/>
    <n v="1800"/>
    <n v="0"/>
    <n v="10600"/>
  </r>
  <r>
    <d v="2024-02-08T00:00:00"/>
    <s v="Payment to supplier INV009"/>
    <x v="1"/>
    <n v="0"/>
    <n v="1000"/>
    <n v="9600"/>
  </r>
  <r>
    <d v="2024-02-10T00:00:00"/>
    <s v="Payment received for INV010"/>
    <x v="2"/>
    <n v="2700"/>
    <n v="0"/>
    <n v="12300"/>
  </r>
  <r>
    <d v="2024-02-15T00:00:00"/>
    <s v="Payment received for INV012"/>
    <x v="2"/>
    <n v="800"/>
    <n v="0"/>
    <n v="13100"/>
  </r>
  <r>
    <d v="2024-02-19T00:00:00"/>
    <s v="Payment to supplier for INV015"/>
    <x v="1"/>
    <n v="0"/>
    <n v="1300"/>
    <n v="11800"/>
  </r>
  <r>
    <d v="2024-02-20T00:00:00"/>
    <s v="Payment received for INV016"/>
    <x v="2"/>
    <n v="1000"/>
    <n v="0"/>
    <n v="12800"/>
  </r>
  <r>
    <d v="2024-02-21T00:00:00"/>
    <s v="Payment to supplier for INV019"/>
    <x v="1"/>
    <n v="0"/>
    <n v="1000"/>
    <n v="11800"/>
  </r>
  <r>
    <d v="2024-02-22T00:00:00"/>
    <s v="Payment received for INV020"/>
    <x v="2"/>
    <n v="1650"/>
    <n v="0"/>
    <n v="13450"/>
  </r>
  <r>
    <d v="2024-02-23T00:00:00"/>
    <s v="Payment to supplier for INV023"/>
    <x v="1"/>
    <n v="0"/>
    <n v="4500"/>
    <n v="8950"/>
  </r>
  <r>
    <d v="2024-02-23T00:00:00"/>
    <s v="Payment received for INV024"/>
    <x v="2"/>
    <n v="1400"/>
    <n v="0"/>
    <n v="10350"/>
  </r>
  <r>
    <d v="2024-02-24T00:00:00"/>
    <s v="Payment received for INV026"/>
    <x v="2"/>
    <n v="2300"/>
    <n v="0"/>
    <n v="12650"/>
  </r>
  <r>
    <d v="2024-02-24T00:00:00"/>
    <s v="Payment received for INV028"/>
    <x v="2"/>
    <n v="1200"/>
    <n v="0"/>
    <n v="13850"/>
  </r>
  <r>
    <d v="2024-02-24T00:00:00"/>
    <s v="Payment received for INV030"/>
    <x v="2"/>
    <n v="1900"/>
    <n v="0"/>
    <n v="15750"/>
  </r>
  <r>
    <d v="2024-02-20T00:00:00"/>
    <s v="Payment to supplier for INV032"/>
    <x v="1"/>
    <n v="0"/>
    <n v="1100"/>
    <n v="14650"/>
  </r>
  <r>
    <d v="2024-02-20T00:00:00"/>
    <s v="Payment to supplier for INV034"/>
    <x v="1"/>
    <n v="0"/>
    <n v="950"/>
    <n v="13700"/>
  </r>
  <r>
    <d v="2024-02-21T00:00:00"/>
    <s v="Payment received for INV035"/>
    <x v="2"/>
    <n v="1000"/>
    <n v="0"/>
    <n v="14700"/>
  </r>
  <r>
    <d v="2024-02-21T00:00:00"/>
    <s v="Payment to supplier for INV037"/>
    <x v="1"/>
    <n v="0"/>
    <n v="1700"/>
    <n v="13000"/>
  </r>
  <r>
    <d v="2024-02-22T00:00:00"/>
    <s v="Payment to supplier for INV039"/>
    <x v="1"/>
    <n v="0"/>
    <n v="1500"/>
    <n v="11500"/>
  </r>
  <r>
    <d v="2024-02-22T00:00:00"/>
    <s v="Payment to supplier for INV042"/>
    <x v="1"/>
    <n v="0"/>
    <n v="3900"/>
    <n v="7600"/>
  </r>
  <r>
    <d v="2024-02-23T00:00:00"/>
    <s v="Payment received for INV043"/>
    <x v="2"/>
    <n v="700"/>
    <n v="0"/>
    <n v="8300"/>
  </r>
  <r>
    <d v="2024-02-23T00:00:00"/>
    <s v="Payment received for INV045"/>
    <x v="2"/>
    <n v="3650"/>
    <n v="0"/>
    <n v="11950"/>
  </r>
  <r>
    <d v="2024-02-24T00:00:00"/>
    <s v="Payment to supplier for INV046"/>
    <x v="1"/>
    <n v="0"/>
    <n v="600"/>
    <n v="11350"/>
  </r>
  <r>
    <d v="2024-02-24T00:00:00"/>
    <s v="Payment to supplier for INV049"/>
    <x v="1"/>
    <n v="0"/>
    <n v="1350"/>
    <n v="10000"/>
  </r>
  <r>
    <d v="2024-02-24T00:00:00"/>
    <s v="Payment received for INV050"/>
    <x v="2"/>
    <n v="2000"/>
    <n v="0"/>
    <n v="12000"/>
  </r>
  <r>
    <d v="2024-02-15T00:00:00"/>
    <s v="Payment received for INV052"/>
    <x v="2"/>
    <n v="1250"/>
    <n v="0"/>
    <n v="13250"/>
  </r>
  <r>
    <d v="2024-02-16T00:00:00"/>
    <s v="Payment to supplier for INV053"/>
    <x v="1"/>
    <n v="0"/>
    <n v="1200"/>
    <n v="12050"/>
  </r>
  <r>
    <d v="2024-02-17T00:00:00"/>
    <s v="Payment to supplier for INV056"/>
    <x v="1"/>
    <n v="0"/>
    <n v="700"/>
    <n v="11350"/>
  </r>
  <r>
    <d v="2024-02-19T00:00:00"/>
    <s v="Payment received for INV057"/>
    <x v="2"/>
    <n v="4600"/>
    <n v="0"/>
    <n v="15950"/>
  </r>
  <r>
    <d v="2024-02-20T00:00:00"/>
    <s v="Payment received for INV060"/>
    <x v="2"/>
    <n v="900"/>
    <n v="0"/>
    <n v="16850"/>
  </r>
  <r>
    <d v="2024-02-20T00:00:00"/>
    <s v="Payment to supplier for INV061"/>
    <x v="1"/>
    <n v="0"/>
    <n v="1350"/>
    <n v="15500"/>
  </r>
  <r>
    <d v="2024-02-21T00:00:00"/>
    <s v="Payment to supplier for INV063"/>
    <x v="1"/>
    <n v="0"/>
    <n v="1000"/>
    <n v="14500"/>
  </r>
  <r>
    <d v="2024-02-22T00:00:00"/>
    <s v="Payment received for INV065"/>
    <x v="2"/>
    <n v="3750"/>
    <n v="0"/>
    <n v="18250"/>
  </r>
  <r>
    <d v="2024-02-23T00:00:00"/>
    <s v="Payment received for INV067"/>
    <x v="2"/>
    <n v="1100"/>
    <n v="0"/>
    <n v="19350"/>
  </r>
  <r>
    <d v="2024-02-24T00:00:00"/>
    <s v="Payment to supplier for INV069"/>
    <x v="1"/>
    <n v="0"/>
    <n v="3500"/>
    <n v="15850"/>
  </r>
  <r>
    <d v="2024-02-20T00:00:00"/>
    <s v="Payment to supplier for INV073"/>
    <x v="1"/>
    <n v="0"/>
    <n v="3600"/>
    <n v="12250"/>
  </r>
  <r>
    <d v="2024-02-20T00:00:00"/>
    <s v="Payment to supplier for INV075"/>
    <x v="1"/>
    <n v="0"/>
    <n v="750"/>
    <n v="11500"/>
  </r>
  <r>
    <d v="2024-02-21T00:00:00"/>
    <s v="Payment received for INV077"/>
    <x v="2"/>
    <n v="3300"/>
    <n v="0"/>
    <n v="14800"/>
  </r>
  <r>
    <d v="2024-02-21T00:00:00"/>
    <s v="Payment received for INV079"/>
    <x v="2"/>
    <n v="1000"/>
    <n v="0"/>
    <n v="15800"/>
  </r>
  <r>
    <d v="2024-02-22T00:00:00"/>
    <s v="Payment to supplier for INV080"/>
    <x v="1"/>
    <n v="0"/>
    <n v="1500"/>
    <n v="14300"/>
  </r>
  <r>
    <d v="2024-02-22T00:00:00"/>
    <s v="Payment to supplier for INV083"/>
    <x v="1"/>
    <n v="0"/>
    <n v="500"/>
    <n v="13800"/>
  </r>
  <r>
    <d v="2024-02-23T00:00:00"/>
    <s v="Payment received for INV084"/>
    <x v="2"/>
    <n v="3750"/>
    <n v="0"/>
    <n v="17550"/>
  </r>
  <r>
    <d v="2024-02-23T00:00:00"/>
    <s v="Payment to supplier for INV086"/>
    <x v="1"/>
    <n v="0"/>
    <n v="1600"/>
    <n v="15950"/>
  </r>
  <r>
    <d v="2024-02-24T00:00:00"/>
    <s v="Payment received for INV087"/>
    <x v="2"/>
    <n v="1800"/>
    <n v="0"/>
    <n v="17750"/>
  </r>
  <r>
    <d v="2024-02-24T00:00:00"/>
    <s v="Payment received for INV090"/>
    <x v="2"/>
    <n v="2000"/>
    <n v="0"/>
    <n v="19750"/>
  </r>
  <r>
    <d v="2024-02-22T00:00:00"/>
    <s v="Payment to supplier for INV093"/>
    <x v="1"/>
    <n v="0"/>
    <n v="1250"/>
    <n v="18500"/>
  </r>
  <r>
    <d v="2024-02-22T00:00:00"/>
    <s v="Payment received for INV094"/>
    <x v="2"/>
    <n v="1200"/>
    <n v="0"/>
    <n v="19700"/>
  </r>
  <r>
    <d v="2024-02-22T00:00:00"/>
    <s v="Payment received for INV096"/>
    <x v="2"/>
    <n v="2400"/>
    <n v="0"/>
    <n v="22100"/>
  </r>
  <r>
    <d v="2024-02-23T00:00:00"/>
    <s v="Payment to supplier for INV099"/>
    <x v="1"/>
    <n v="0"/>
    <n v="2000"/>
    <n v="20100"/>
  </r>
  <r>
    <d v="2024-02-23T00:00:00"/>
    <s v="Payment received for INV100"/>
    <x v="2"/>
    <n v="2750"/>
    <n v="0"/>
    <n v="22850"/>
  </r>
  <r>
    <d v="2024-02-24T00:00:00"/>
    <s v="Payment received for INV102"/>
    <x v="2"/>
    <n v="1500"/>
    <n v="0"/>
    <n v="24350"/>
  </r>
  <r>
    <d v="2024-02-24T00:00:00"/>
    <s v="Payment to supplier for INV105"/>
    <x v="1"/>
    <n v="0"/>
    <n v="4100"/>
    <n v="20250"/>
  </r>
  <r>
    <d v="2024-02-24T00:00:00"/>
    <s v="Payment received for INV106"/>
    <x v="2"/>
    <n v="2300"/>
    <n v="0"/>
    <n v="22550"/>
  </r>
  <r>
    <d v="2024-02-24T00:00:00"/>
    <s v="Payment to supplier for INV107"/>
    <x v="1"/>
    <n v="0"/>
    <n v="900"/>
    <n v="21650"/>
  </r>
  <r>
    <d v="2024-02-24T00:00:00"/>
    <s v="Payment received for INV108"/>
    <x v="2"/>
    <n v="1950"/>
    <n v="0"/>
    <n v="23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BA3C9-2834-40EF-8822-EC9CC74ACFB0}" name="PivotTable2" cacheId="17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3:F18" firstHeaderRow="1" firstDataRow="1" firstDataCol="1" rowPageCount="1" colPageCount="1"/>
  <pivotFields count="7">
    <pivotField compact="0" outline="0" showAll="0"/>
    <pivotField axis="axisRow" compact="0" outline="0" showAll="0">
      <items count="15">
        <item x="0"/>
        <item x="3"/>
        <item x="1"/>
        <item x="5"/>
        <item x="11"/>
        <item x="13"/>
        <item x="8"/>
        <item x="4"/>
        <item x="6"/>
        <item x="12"/>
        <item x="7"/>
        <item x="10"/>
        <item x="9"/>
        <item x="2"/>
        <item t="default"/>
      </items>
    </pivotField>
    <pivotField compact="0" outline="0" showAll="0"/>
    <pivotField compact="0" numFmtId="15" outline="0" showAll="0"/>
    <pivotField dataField="1" compact="0" numFmtId="3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6" hier="-1"/>
  </pageFields>
  <dataFields count="1">
    <dataField name="AR Outstanding" fld="4" baseField="0" baseItem="0" numFmtId="3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05912-3BFF-4649-BEF0-FBCEB92A3DEB}" name="PivotTable1" cacheId="17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22" firstHeaderRow="1" firstDataRow="1" firstDataCol="1" rowPageCount="1" colPageCount="1"/>
  <pivotFields count="7">
    <pivotField compact="0" outline="0" showAll="0"/>
    <pivotField axis="axisRow" compact="0" outline="0" showAll="0">
      <items count="19">
        <item x="11"/>
        <item x="13"/>
        <item x="8"/>
        <item x="17"/>
        <item x="7"/>
        <item x="5"/>
        <item x="3"/>
        <item x="2"/>
        <item x="4"/>
        <item x="9"/>
        <item x="10"/>
        <item x="15"/>
        <item x="6"/>
        <item x="1"/>
        <item x="12"/>
        <item x="16"/>
        <item x="14"/>
        <item x="0"/>
        <item t="default"/>
      </items>
    </pivotField>
    <pivotField compact="0" outline="0" showAll="0"/>
    <pivotField compact="0" numFmtId="15" outline="0" showAll="0"/>
    <pivotField dataField="1" compact="0" numFmtId="164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6" hier="-1"/>
  </pageFields>
  <dataFields count="1">
    <dataField name="AP Outstanding" fld="4" baseField="0" baseItem="0" numFmtId="164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EB414-EF35-4B27-BB55-96CD1161E007}" name="PivotTable4" cacheId="17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12:K16" firstHeaderRow="0" firstDataRow="1" firstDataCol="1"/>
  <pivotFields count="6">
    <pivotField compact="0" numFmtId="15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dataField="1"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ash Outflow" fld="4" baseField="0" baseItem="0"/>
    <dataField name="Cash Inflow" fld="3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DA2BD-9F24-4377-B25E-252458C494D1}" name="PivotTable3" cacheId="17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3:L8" firstHeaderRow="1" firstDataRow="2" firstDataCol="1"/>
  <pivotFields count="12">
    <pivotField dataField="1" compact="0" outline="0" showAll="0"/>
    <pivotField compact="0" numFmtId="15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numFmtId="15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Invoice Count" fld="0" subtotal="count" baseField="0" baseItem="0"/>
  </dataField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D8FA55-3CBB-4F2F-BF21-0072F49AA139}" name="Table1" displayName="Table1" ref="A1:D19" totalsRowShown="0">
  <autoFilter ref="A1:D19" xr:uid="{D8D8FA55-3CBB-4F2F-BF21-0072F49AA139}"/>
  <tableColumns count="4">
    <tableColumn id="1" xr3:uid="{08327466-BE81-4F2F-A9E2-999CB96B5F09}" name="Supplier_ID"/>
    <tableColumn id="2" xr3:uid="{02A0F74A-EA4A-467E-B685-E30565617AF3}" name="Supplier_Name"/>
    <tableColumn id="3" xr3:uid="{0CF6241A-AC2C-46F4-A8CE-5D36AD10EF38}" name="Country"/>
    <tableColumn id="4" xr3:uid="{24A24BCB-272B-4BDA-A406-D496A779FFDA}" name="Payment_Ter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234CD-2BB1-4DD1-A1C6-B23781432158}" name="Table2" displayName="Table2" ref="A1:D15" totalsRowShown="0">
  <autoFilter ref="A1:D15" xr:uid="{E21234CD-2BB1-4DD1-A1C6-B23781432158}"/>
  <tableColumns count="4">
    <tableColumn id="1" xr3:uid="{2EAF29EC-E02E-4578-9A9D-E3B0AB20EA0D}" name="Customer_ID"/>
    <tableColumn id="2" xr3:uid="{C37D05B9-002D-4F4E-97C4-C7ADF9B0B690}" name="Customer_Name"/>
    <tableColumn id="3" xr3:uid="{C36910B8-6424-43E0-86ED-2A614A25D40D}" name="Country"/>
    <tableColumn id="4" xr3:uid="{564D8109-D661-4025-95A0-0B344BF8E624}" name="Credit_Term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C00F94-D84F-40D7-B929-13030989AC9F}" name="Table3" displayName="Table3" ref="A1:L111" totalsRowShown="0">
  <autoFilter ref="A1:L111" xr:uid="{7DC00F94-D84F-40D7-B929-13030989AC9F}"/>
  <tableColumns count="12">
    <tableColumn id="1" xr3:uid="{E5B7E0B5-887F-435B-9123-5E48AE9C4B58}" name="Invoice_ID"/>
    <tableColumn id="2" xr3:uid="{76DCA1D7-F203-46CF-A990-2DC918531A31}" name="Date" dataDxfId="14"/>
    <tableColumn id="3" xr3:uid="{237D2FD6-753E-44E3-8942-71F6D9BD06BA}" name="Type"/>
    <tableColumn id="4" xr3:uid="{6BF92A79-DC10-4CD8-B62F-07432B2D4057}" name="Party_ID"/>
    <tableColumn id="5" xr3:uid="{084A0177-D599-4430-BAD8-996353B6BF0F}" name="Amount" dataDxfId="13"/>
    <tableColumn id="6" xr3:uid="{73CACBBC-5B53-410F-9660-A91F92F075B9}" name="Due_Date" dataDxfId="12"/>
    <tableColumn id="7" xr3:uid="{7BE61D27-8EC2-407A-8608-3F5CD361CC9A}" name="Status">
      <calculatedColumnFormula>IF(K2=0,"Closed",IF(J2=0,"Open","Partially Paid"))</calculatedColumnFormula>
    </tableColumn>
    <tableColumn id="8" xr3:uid="{E6ADC3BA-2993-4DB3-823A-0C669CAABCA1}" name="Party_Name" dataDxfId="11">
      <calculatedColumnFormula>IF(C2="AP",_xlfn.XLOOKUP(D2,Suppliers!A:A,Suppliers!B:B,""),_xlfn.XLOOKUP(D2,Customers!A:A,Customers!B:B,""))</calculatedColumnFormula>
    </tableColumn>
    <tableColumn id="9" xr3:uid="{663E5AA6-D64C-46F6-A654-F7AD75A4C000}" name="Terms" dataDxfId="10">
      <calculatedColumnFormula>IF(C2="AP",_xlfn.XLOOKUP(D2,Suppliers!A:A,Suppliers!D:D,""),_xlfn.XLOOKUP(D2,Customers!A:A,Customers!D:D,""))</calculatedColumnFormula>
    </tableColumn>
    <tableColumn id="10" xr3:uid="{BC9D2D69-F45D-408B-9FAA-096C2BD3D4E3}" name="Paid_Amount" dataDxfId="9">
      <calculatedColumnFormula>SUMIF(Payments!C:C,A2,Payments!D:D)</calculatedColumnFormula>
    </tableColumn>
    <tableColumn id="11" xr3:uid="{47D60664-3740-4517-BE4A-56470DDB6C80}" name="Balance" dataDxfId="8">
      <calculatedColumnFormula>E2-J2</calculatedColumnFormula>
    </tableColumn>
    <tableColumn id="12" xr3:uid="{7C1D23BE-8722-4202-BCC6-A8D8A2AEF92A}" name="Days_Overdue">
      <calculatedColumnFormula>IF(K2=0,0,$N$2-F2)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197D69-271D-4CB3-A67A-31D39FC615AA}" name="Table4" displayName="Table4" ref="A1:E61" totalsRowShown="0">
  <autoFilter ref="A1:E61" xr:uid="{75197D69-271D-4CB3-A67A-31D39FC615AA}"/>
  <tableColumns count="5">
    <tableColumn id="1" xr3:uid="{DA009A8A-95F1-4E16-99F0-65CDAC50C314}" name="Payment_ID"/>
    <tableColumn id="2" xr3:uid="{B0BDFF71-3388-4665-A392-C6CB413F4172}" name="Date" dataDxfId="7"/>
    <tableColumn id="3" xr3:uid="{4D7E0606-CC71-4B31-895B-EF6CADACF9F4}" name="Invoice_ID"/>
    <tableColumn id="4" xr3:uid="{44CA6224-318E-4E69-91E5-08F0D3C749DB}" name="Amount_Paid" dataDxfId="6"/>
    <tableColumn id="5" xr3:uid="{DA71BB92-2818-48FD-BA56-65C5181123DD}" name="Meth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627136-C822-4FB6-BC8A-514EFB4112A4}" name="Table7" displayName="Table7" ref="A1:F62" totalsRowShown="0" headerRowDxfId="5">
  <autoFilter ref="A1:F62" xr:uid="{48627136-C822-4FB6-BC8A-514EFB4112A4}"/>
  <tableColumns count="6">
    <tableColumn id="1" xr3:uid="{E9092488-A9AD-4D42-9493-FEE25B16CB53}" name="Date" dataDxfId="4"/>
    <tableColumn id="2" xr3:uid="{BDBEBB15-56AB-4F1B-90AF-F9F85B988088}" name="Description"/>
    <tableColumn id="3" xr3:uid="{A36F9BC7-B90D-4C53-92C7-C88BFDE2FD2F}" name="Type"/>
    <tableColumn id="4" xr3:uid="{4040DF24-ABF1-4D56-9368-064CBFB79959}" name="Debit"/>
    <tableColumn id="5" xr3:uid="{B16A5B95-57CA-4748-9712-694AFCCA46A1}" name="Credit"/>
    <tableColumn id="6" xr3:uid="{9FE66EF2-D8C9-4408-A2D0-81FAF793883B}" name="Bal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1ABC13-A91A-4CC9-92B9-4C0247E5CB45}" name="Table5" displayName="Table5" ref="A1:G45" totalsRowShown="0" headerRowDxfId="3">
  <autoFilter ref="A1:G45" xr:uid="{401ABC13-A91A-4CC9-92B9-4C0247E5CB45}"/>
  <tableColumns count="7">
    <tableColumn id="1" xr3:uid="{AE725449-066A-4DF4-9BED-7F2B0F64F3C5}" name="Supplier_ID"/>
    <tableColumn id="2" xr3:uid="{326E49CF-1B63-4048-AAF5-51AF791239B5}" name="Supplier_Name"/>
    <tableColumn id="3" xr3:uid="{E60DBB97-39C6-42E9-AE62-156F3C47FF84}" name="Invoice_ID"/>
    <tableColumn id="4" xr3:uid="{15ABE708-7EA1-4D82-A0ED-88FB580C172F}" name="Due_Date" dataDxfId="2"/>
    <tableColumn id="5" xr3:uid="{1419B4FE-DB2D-4574-B593-E40FA53663D8}" name="Balance" dataDxfId="1"/>
    <tableColumn id="6" xr3:uid="{854D8691-1238-4CB0-B9D1-7615761AF072}" name="Days_Overdue"/>
    <tableColumn id="7" xr3:uid="{271A2C2F-3DE0-4308-92A5-8BB0752234E0}" name="Age_Bucke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BF62AC-DE9A-4BDD-8798-2EA48C2AB0B4}" name="Table6" displayName="Table6" ref="A1:G36" totalsRowShown="0" headerRowDxfId="0">
  <autoFilter ref="A1:G36" xr:uid="{44BF62AC-DE9A-4BDD-8798-2EA48C2AB0B4}"/>
  <tableColumns count="7">
    <tableColumn id="1" xr3:uid="{2391F9C8-2597-4628-854B-06A2CB31D03E}" name="Customer_ID"/>
    <tableColumn id="2" xr3:uid="{831E43D2-FD7B-46C0-90BF-C442194E27B4}" name="Customer_Name"/>
    <tableColumn id="3" xr3:uid="{B598936B-5001-4C6E-8ED2-81BA3B722A63}" name="Invoice_ID"/>
    <tableColumn id="4" xr3:uid="{3857156C-3C40-4740-BD97-1C1A0D1032C0}" name="Due_Date"/>
    <tableColumn id="5" xr3:uid="{F7168179-7719-4DF5-8848-C53AEE27C642}" name="Balance"/>
    <tableColumn id="6" xr3:uid="{30DC4053-E853-477C-AFE2-F7658D3D3178}" name="Days_Overdue"/>
    <tableColumn id="7" xr3:uid="{61B5BC8C-5087-432C-A758-D218FD4DEFEE}" name="Age_Buc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I21" sqref="I21"/>
    </sheetView>
  </sheetViews>
  <sheetFormatPr defaultRowHeight="15"/>
  <cols>
    <col min="1" max="1" width="13.7109375" bestFit="1" customWidth="1"/>
    <col min="2" max="2" width="26" customWidth="1"/>
    <col min="3" max="3" width="11.85546875" bestFit="1" customWidth="1"/>
    <col min="4" max="4" width="18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30</v>
      </c>
    </row>
    <row r="3" spans="1:4">
      <c r="A3" t="s">
        <v>7</v>
      </c>
      <c r="B3" t="s">
        <v>8</v>
      </c>
      <c r="C3" t="s">
        <v>9</v>
      </c>
      <c r="D3">
        <v>45</v>
      </c>
    </row>
    <row r="4" spans="1:4">
      <c r="A4" t="s">
        <v>10</v>
      </c>
      <c r="B4" t="s">
        <v>11</v>
      </c>
      <c r="C4" t="s">
        <v>12</v>
      </c>
      <c r="D4">
        <v>30</v>
      </c>
    </row>
    <row r="5" spans="1:4">
      <c r="A5" t="s">
        <v>13</v>
      </c>
      <c r="B5" t="s">
        <v>14</v>
      </c>
      <c r="C5" t="s">
        <v>15</v>
      </c>
      <c r="D5">
        <v>60</v>
      </c>
    </row>
    <row r="6" spans="1:4">
      <c r="A6" t="s">
        <v>16</v>
      </c>
      <c r="B6" t="s">
        <v>17</v>
      </c>
      <c r="C6" t="s">
        <v>6</v>
      </c>
      <c r="D6">
        <v>30</v>
      </c>
    </row>
    <row r="7" spans="1:4">
      <c r="A7" t="s">
        <v>18</v>
      </c>
      <c r="B7" t="s">
        <v>19</v>
      </c>
      <c r="C7" t="s">
        <v>20</v>
      </c>
      <c r="D7">
        <v>45</v>
      </c>
    </row>
    <row r="8" spans="1:4">
      <c r="A8" t="s">
        <v>21</v>
      </c>
      <c r="B8" t="s">
        <v>22</v>
      </c>
      <c r="C8" t="s">
        <v>9</v>
      </c>
      <c r="D8">
        <v>30</v>
      </c>
    </row>
    <row r="9" spans="1:4">
      <c r="A9" t="s">
        <v>23</v>
      </c>
      <c r="B9" t="s">
        <v>24</v>
      </c>
      <c r="C9" t="s">
        <v>25</v>
      </c>
      <c r="D9">
        <v>60</v>
      </c>
    </row>
    <row r="10" spans="1:4">
      <c r="A10" t="s">
        <v>26</v>
      </c>
      <c r="B10" t="s">
        <v>27</v>
      </c>
      <c r="C10" t="s">
        <v>6</v>
      </c>
      <c r="D10">
        <v>30</v>
      </c>
    </row>
    <row r="11" spans="1:4">
      <c r="A11" t="s">
        <v>28</v>
      </c>
      <c r="B11" t="s">
        <v>29</v>
      </c>
      <c r="C11" t="s">
        <v>30</v>
      </c>
      <c r="D11">
        <v>45</v>
      </c>
    </row>
    <row r="12" spans="1:4">
      <c r="A12" t="s">
        <v>31</v>
      </c>
      <c r="B12" t="s">
        <v>32</v>
      </c>
      <c r="C12" t="s">
        <v>9</v>
      </c>
      <c r="D12">
        <v>30</v>
      </c>
    </row>
    <row r="13" spans="1:4">
      <c r="A13" t="s">
        <v>33</v>
      </c>
      <c r="B13" t="s">
        <v>34</v>
      </c>
      <c r="C13" t="s">
        <v>35</v>
      </c>
      <c r="D13">
        <v>30</v>
      </c>
    </row>
    <row r="14" spans="1:4">
      <c r="A14" t="s">
        <v>36</v>
      </c>
      <c r="B14" t="s">
        <v>37</v>
      </c>
      <c r="C14" t="s">
        <v>15</v>
      </c>
      <c r="D14">
        <v>45</v>
      </c>
    </row>
    <row r="15" spans="1:4">
      <c r="A15" t="s">
        <v>38</v>
      </c>
      <c r="B15" t="s">
        <v>39</v>
      </c>
      <c r="C15" t="s">
        <v>9</v>
      </c>
      <c r="D15">
        <v>30</v>
      </c>
    </row>
    <row r="16" spans="1:4">
      <c r="A16" t="s">
        <v>40</v>
      </c>
      <c r="B16" t="s">
        <v>41</v>
      </c>
      <c r="C16" t="s">
        <v>6</v>
      </c>
      <c r="D16">
        <v>60</v>
      </c>
    </row>
    <row r="17" spans="1:4">
      <c r="A17" t="s">
        <v>42</v>
      </c>
      <c r="B17" t="s">
        <v>43</v>
      </c>
      <c r="C17" t="s">
        <v>12</v>
      </c>
      <c r="D17">
        <v>30</v>
      </c>
    </row>
    <row r="18" spans="1:4">
      <c r="A18" t="s">
        <v>44</v>
      </c>
      <c r="B18" t="s">
        <v>45</v>
      </c>
      <c r="C18" t="s">
        <v>20</v>
      </c>
      <c r="D18">
        <v>30</v>
      </c>
    </row>
    <row r="19" spans="1:4">
      <c r="A19" t="s">
        <v>46</v>
      </c>
      <c r="B19" t="s">
        <v>47</v>
      </c>
      <c r="C19" t="s">
        <v>25</v>
      </c>
      <c r="D19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F155-057B-4A38-BDEF-D6988FA8336D}">
  <dimension ref="A1:D15"/>
  <sheetViews>
    <sheetView workbookViewId="0">
      <selection activeCell="D30" sqref="D30"/>
    </sheetView>
  </sheetViews>
  <sheetFormatPr defaultRowHeight="15"/>
  <cols>
    <col min="1" max="1" width="15" bestFit="1" customWidth="1"/>
    <col min="2" max="2" width="26" customWidth="1"/>
    <col min="3" max="3" width="11.85546875" bestFit="1" customWidth="1"/>
    <col min="4" max="4" width="15.5703125" bestFit="1" customWidth="1"/>
  </cols>
  <sheetData>
    <row r="1" spans="1:4">
      <c r="A1" t="s">
        <v>48</v>
      </c>
      <c r="B1" t="s">
        <v>49</v>
      </c>
      <c r="C1" t="s">
        <v>2</v>
      </c>
      <c r="D1" t="s">
        <v>50</v>
      </c>
    </row>
    <row r="2" spans="1:4">
      <c r="A2" t="s">
        <v>51</v>
      </c>
      <c r="B2" t="s">
        <v>52</v>
      </c>
      <c r="C2" t="s">
        <v>6</v>
      </c>
      <c r="D2">
        <v>30</v>
      </c>
    </row>
    <row r="3" spans="1:4">
      <c r="A3" t="s">
        <v>53</v>
      </c>
      <c r="B3" t="s">
        <v>54</v>
      </c>
      <c r="C3" t="s">
        <v>9</v>
      </c>
      <c r="D3">
        <v>45</v>
      </c>
    </row>
    <row r="4" spans="1:4">
      <c r="A4" t="s">
        <v>55</v>
      </c>
      <c r="B4" t="s">
        <v>56</v>
      </c>
      <c r="C4" t="s">
        <v>12</v>
      </c>
      <c r="D4">
        <v>30</v>
      </c>
    </row>
    <row r="5" spans="1:4">
      <c r="A5" t="s">
        <v>57</v>
      </c>
      <c r="B5" t="s">
        <v>58</v>
      </c>
      <c r="C5" t="s">
        <v>15</v>
      </c>
      <c r="D5">
        <v>60</v>
      </c>
    </row>
    <row r="6" spans="1:4">
      <c r="A6" t="s">
        <v>59</v>
      </c>
      <c r="B6" t="s">
        <v>60</v>
      </c>
      <c r="C6" t="s">
        <v>6</v>
      </c>
      <c r="D6">
        <v>30</v>
      </c>
    </row>
    <row r="7" spans="1:4">
      <c r="A7" t="s">
        <v>61</v>
      </c>
      <c r="B7" t="s">
        <v>62</v>
      </c>
      <c r="C7" t="s">
        <v>25</v>
      </c>
      <c r="D7">
        <v>45</v>
      </c>
    </row>
    <row r="8" spans="1:4">
      <c r="A8" t="s">
        <v>63</v>
      </c>
      <c r="B8" t="s">
        <v>64</v>
      </c>
      <c r="C8" t="s">
        <v>9</v>
      </c>
      <c r="D8">
        <v>30</v>
      </c>
    </row>
    <row r="9" spans="1:4">
      <c r="A9" t="s">
        <v>65</v>
      </c>
      <c r="B9" t="s">
        <v>66</v>
      </c>
      <c r="C9" t="s">
        <v>20</v>
      </c>
      <c r="D9">
        <v>60</v>
      </c>
    </row>
    <row r="10" spans="1:4">
      <c r="A10" t="s">
        <v>67</v>
      </c>
      <c r="B10" t="s">
        <v>68</v>
      </c>
      <c r="C10" t="s">
        <v>6</v>
      </c>
      <c r="D10">
        <v>30</v>
      </c>
    </row>
    <row r="11" spans="1:4">
      <c r="A11" t="s">
        <v>69</v>
      </c>
      <c r="B11" t="s">
        <v>70</v>
      </c>
      <c r="C11" t="s">
        <v>30</v>
      </c>
      <c r="D11">
        <v>45</v>
      </c>
    </row>
    <row r="12" spans="1:4">
      <c r="A12" t="s">
        <v>71</v>
      </c>
      <c r="B12" t="s">
        <v>72</v>
      </c>
      <c r="C12" t="s">
        <v>9</v>
      </c>
      <c r="D12">
        <v>30</v>
      </c>
    </row>
    <row r="13" spans="1:4">
      <c r="A13" t="s">
        <v>73</v>
      </c>
      <c r="B13" t="s">
        <v>74</v>
      </c>
      <c r="C13" t="s">
        <v>15</v>
      </c>
      <c r="D13">
        <v>45</v>
      </c>
    </row>
    <row r="14" spans="1:4">
      <c r="A14" t="s">
        <v>75</v>
      </c>
      <c r="B14" t="s">
        <v>76</v>
      </c>
      <c r="C14" t="s">
        <v>25</v>
      </c>
      <c r="D14">
        <v>30</v>
      </c>
    </row>
    <row r="15" spans="1:4">
      <c r="A15" t="s">
        <v>77</v>
      </c>
      <c r="B15" t="s">
        <v>78</v>
      </c>
      <c r="C15" t="s">
        <v>6</v>
      </c>
      <c r="D15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F911-E145-43E9-9746-FD82FC97E28A}">
  <dimension ref="A1:N111"/>
  <sheetViews>
    <sheetView workbookViewId="0">
      <selection activeCell="J18" sqref="J18"/>
    </sheetView>
  </sheetViews>
  <sheetFormatPr defaultRowHeight="15"/>
  <cols>
    <col min="1" max="1" width="12.85546875" bestFit="1" customWidth="1"/>
    <col min="2" max="2" width="10" bestFit="1" customWidth="1"/>
    <col min="3" max="3" width="7.7109375" bestFit="1" customWidth="1"/>
    <col min="4" max="4" width="11.140625" bestFit="1" customWidth="1"/>
    <col min="5" max="5" width="10.7109375" bestFit="1" customWidth="1"/>
    <col min="6" max="6" width="12.28515625" bestFit="1" customWidth="1"/>
    <col min="7" max="7" width="12.42578125" bestFit="1" customWidth="1"/>
    <col min="8" max="8" width="24.5703125" bestFit="1" customWidth="1"/>
    <col min="10" max="10" width="13" bestFit="1" customWidth="1"/>
    <col min="11" max="11" width="9.7109375" bestFit="1" customWidth="1"/>
    <col min="12" max="12" width="16.5703125" bestFit="1" customWidth="1"/>
    <col min="14" max="14" width="12.28515625" bestFit="1" customWidth="1"/>
  </cols>
  <sheetData>
    <row r="1" spans="1:14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N1" t="s">
        <v>91</v>
      </c>
    </row>
    <row r="2" spans="1:14">
      <c r="A2" t="s">
        <v>92</v>
      </c>
      <c r="B2" s="1">
        <v>45292</v>
      </c>
      <c r="C2" t="s">
        <v>93</v>
      </c>
      <c r="D2" t="s">
        <v>4</v>
      </c>
      <c r="E2" s="4">
        <v>1200</v>
      </c>
      <c r="F2" s="1">
        <v>45322</v>
      </c>
      <c r="G2" t="str">
        <f>IF(K2=0,"Closed",IF(J2=0,"Open","Partially Paid"))</f>
        <v>Closed</v>
      </c>
      <c r="H2" t="str">
        <f>IF(C2="AP",_xlfn.XLOOKUP(D2,Suppliers!A:A,Suppliers!B:B,""),_xlfn.XLOOKUP(D2,Customers!A:A,Customers!B:B,""))</f>
        <v>ABC Office Supplies</v>
      </c>
      <c r="I2">
        <f>IF(C2="AP",_xlfn.XLOOKUP(D2,Suppliers!A:A,Suppliers!D:D,""),_xlfn.XLOOKUP(D2,Customers!A:A,Customers!D:D,""))</f>
        <v>30</v>
      </c>
      <c r="J2" s="4">
        <f>SUMIF(Payments!C:C,A2,Payments!D:D)</f>
        <v>1200</v>
      </c>
      <c r="K2" s="5">
        <v>0</v>
      </c>
      <c r="L2">
        <f>IF(K2=0,0,$N$2-F2)</f>
        <v>0</v>
      </c>
      <c r="N2" s="1">
        <v>45346</v>
      </c>
    </row>
    <row r="3" spans="1:14">
      <c r="A3" t="s">
        <v>94</v>
      </c>
      <c r="B3" s="1">
        <v>45293</v>
      </c>
      <c r="C3" t="s">
        <v>95</v>
      </c>
      <c r="D3" t="s">
        <v>51</v>
      </c>
      <c r="E3" s="4">
        <v>2500</v>
      </c>
      <c r="F3" s="1">
        <v>45323</v>
      </c>
      <c r="G3" t="str">
        <f t="shared" ref="G3:G11" si="0">IF(K3=0,"Closed",IF(J3=0,"Open","Partially Paid"))</f>
        <v>Partially Paid</v>
      </c>
      <c r="H3" t="str">
        <f>IF(C3="AP",_xlfn.XLOOKUP(D3,Suppliers!A:A,Suppliers!B:B,""),_xlfn.XLOOKUP(D3,Customers!A:A,Customers!B:B,""))</f>
        <v>Blue Retail</v>
      </c>
      <c r="I3">
        <f>IF(C3="AP",_xlfn.XLOOKUP(D3,Suppliers!A:A,Suppliers!D:D,""),_xlfn.XLOOKUP(D3,Customers!A:A,Customers!D:D,""))</f>
        <v>30</v>
      </c>
      <c r="J3" s="4">
        <f>SUMIF(Payments!C:C,A3,Payments!D:D)</f>
        <v>1000</v>
      </c>
      <c r="K3" s="4">
        <f>E3-J3</f>
        <v>1500</v>
      </c>
      <c r="L3">
        <f t="shared" ref="L3:L11" si="1">IF(K3=0,0,$N$2-F3)</f>
        <v>23</v>
      </c>
    </row>
    <row r="4" spans="1:14">
      <c r="A4" t="s">
        <v>96</v>
      </c>
      <c r="B4" s="1">
        <v>45294</v>
      </c>
      <c r="C4" t="s">
        <v>93</v>
      </c>
      <c r="D4" t="s">
        <v>10</v>
      </c>
      <c r="E4" s="4">
        <v>800</v>
      </c>
      <c r="F4" s="1">
        <v>45324</v>
      </c>
      <c r="G4" t="str">
        <f t="shared" si="0"/>
        <v>Closed</v>
      </c>
      <c r="H4" t="str">
        <f>IF(C4="AP",_xlfn.XLOOKUP(D4,Suppliers!A:A,Suppliers!B:B,""),_xlfn.XLOOKUP(D4,Customers!A:A,Customers!B:B,""))</f>
        <v>Bright Marketing</v>
      </c>
      <c r="I4">
        <f>IF(C4="AP",_xlfn.XLOOKUP(D4,Suppliers!A:A,Suppliers!D:D,""),_xlfn.XLOOKUP(D4,Customers!A:A,Customers!D:D,""))</f>
        <v>30</v>
      </c>
      <c r="J4" s="4">
        <f>SUMIF(Payments!C:C,A4,Payments!D:D)</f>
        <v>800</v>
      </c>
      <c r="K4" s="5">
        <f t="shared" ref="K3:K11" si="2">E4-J4</f>
        <v>0</v>
      </c>
      <c r="L4">
        <f t="shared" si="1"/>
        <v>0</v>
      </c>
    </row>
    <row r="5" spans="1:14">
      <c r="A5" t="s">
        <v>97</v>
      </c>
      <c r="B5" s="1">
        <v>45296</v>
      </c>
      <c r="C5" t="s">
        <v>95</v>
      </c>
      <c r="D5" t="s">
        <v>57</v>
      </c>
      <c r="E5" s="4">
        <v>3200</v>
      </c>
      <c r="F5" s="1">
        <v>45326</v>
      </c>
      <c r="G5" t="str">
        <f t="shared" si="0"/>
        <v>Closed</v>
      </c>
      <c r="H5" t="str">
        <f>IF(C5="AP",_xlfn.XLOOKUP(D5,Suppliers!A:A,Suppliers!B:B,""),_xlfn.XLOOKUP(D5,Customers!A:A,Customers!B:B,""))</f>
        <v>Prime Wholesale</v>
      </c>
      <c r="I5">
        <f>IF(C5="AP",_xlfn.XLOOKUP(D5,Suppliers!A:A,Suppliers!D:D,""),_xlfn.XLOOKUP(D5,Customers!A:A,Customers!D:D,""))</f>
        <v>60</v>
      </c>
      <c r="J5" s="4">
        <f>SUMIF(Payments!C:C,A5,Payments!D:D)</f>
        <v>3200</v>
      </c>
      <c r="K5" s="5">
        <f t="shared" si="2"/>
        <v>0</v>
      </c>
      <c r="L5">
        <f t="shared" si="1"/>
        <v>0</v>
      </c>
    </row>
    <row r="6" spans="1:14">
      <c r="A6" t="s">
        <v>98</v>
      </c>
      <c r="B6" s="1">
        <v>45297</v>
      </c>
      <c r="C6" t="s">
        <v>93</v>
      </c>
      <c r="D6" t="s">
        <v>16</v>
      </c>
      <c r="E6" s="4">
        <v>1500</v>
      </c>
      <c r="F6" s="1">
        <v>45327</v>
      </c>
      <c r="G6" t="str">
        <f t="shared" si="0"/>
        <v>Partially Paid</v>
      </c>
      <c r="H6" t="str">
        <f>IF(C6="AP",_xlfn.XLOOKUP(D6,Suppliers!A:A,Suppliers!B:B,""),_xlfn.XLOOKUP(D6,Customers!A:A,Customers!B:B,""))</f>
        <v>Tech Hardware Ltd</v>
      </c>
      <c r="I6">
        <f>IF(C6="AP",_xlfn.XLOOKUP(D6,Suppliers!A:A,Suppliers!D:D,""),_xlfn.XLOOKUP(D6,Customers!A:A,Customers!D:D,""))</f>
        <v>30</v>
      </c>
      <c r="J6" s="4">
        <f>SUMIF(Payments!C:C,A6,Payments!D:D)</f>
        <v>500</v>
      </c>
      <c r="K6" s="4">
        <f t="shared" si="2"/>
        <v>1000</v>
      </c>
      <c r="L6">
        <f t="shared" si="1"/>
        <v>19</v>
      </c>
    </row>
    <row r="7" spans="1:14">
      <c r="A7" t="s">
        <v>99</v>
      </c>
      <c r="B7" s="1">
        <v>45299</v>
      </c>
      <c r="C7" t="s">
        <v>95</v>
      </c>
      <c r="D7" t="s">
        <v>53</v>
      </c>
      <c r="E7" s="4">
        <v>2100</v>
      </c>
      <c r="F7" s="1">
        <v>45329</v>
      </c>
      <c r="G7" t="str">
        <f t="shared" si="0"/>
        <v>Closed</v>
      </c>
      <c r="H7" t="str">
        <f>IF(C7="AP",_xlfn.XLOOKUP(D7,Suppliers!A:A,Suppliers!B:B,""),_xlfn.XLOOKUP(D7,Customers!A:A,Customers!B:B,""))</f>
        <v>Nova Electronics</v>
      </c>
      <c r="I7">
        <f>IF(C7="AP",_xlfn.XLOOKUP(D7,Suppliers!A:A,Suppliers!D:D,""),_xlfn.XLOOKUP(D7,Customers!A:A,Customers!D:D,""))</f>
        <v>45</v>
      </c>
      <c r="J7" s="4">
        <f>SUMIF(Payments!C:C,A7,Payments!D:D)</f>
        <v>2100</v>
      </c>
      <c r="K7" s="5">
        <f t="shared" si="2"/>
        <v>0</v>
      </c>
      <c r="L7">
        <f t="shared" si="1"/>
        <v>0</v>
      </c>
    </row>
    <row r="8" spans="1:14">
      <c r="A8" t="s">
        <v>100</v>
      </c>
      <c r="B8" s="1">
        <v>45300</v>
      </c>
      <c r="C8" t="s">
        <v>93</v>
      </c>
      <c r="D8" t="s">
        <v>23</v>
      </c>
      <c r="E8" s="4">
        <v>900</v>
      </c>
      <c r="F8" s="1">
        <v>45332</v>
      </c>
      <c r="G8" t="str">
        <f t="shared" si="0"/>
        <v>Open</v>
      </c>
      <c r="H8" t="str">
        <f>IF(C8="AP",_xlfn.XLOOKUP(D8,Suppliers!A:A,Suppliers!B:B,""),_xlfn.XLOOKUP(D8,Customers!A:A,Customers!B:B,""))</f>
        <v>Rapid Transport</v>
      </c>
      <c r="I8">
        <f>IF(C8="AP",_xlfn.XLOOKUP(D8,Suppliers!A:A,Suppliers!D:D,""),_xlfn.XLOOKUP(D8,Customers!A:A,Customers!D:D,""))</f>
        <v>60</v>
      </c>
      <c r="J8" s="5">
        <f>SUMIF(Payments!C:C,A8,Payments!D:D)</f>
        <v>0</v>
      </c>
      <c r="K8" s="4">
        <f t="shared" si="2"/>
        <v>900</v>
      </c>
      <c r="L8">
        <f t="shared" si="1"/>
        <v>14</v>
      </c>
    </row>
    <row r="9" spans="1:14">
      <c r="A9" t="s">
        <v>101</v>
      </c>
      <c r="B9" s="1">
        <v>45301</v>
      </c>
      <c r="C9" t="s">
        <v>95</v>
      </c>
      <c r="D9" t="s">
        <v>61</v>
      </c>
      <c r="E9" s="4">
        <v>1800</v>
      </c>
      <c r="F9" s="1">
        <v>45333</v>
      </c>
      <c r="G9" t="str">
        <f t="shared" si="0"/>
        <v>Closed</v>
      </c>
      <c r="H9" t="str">
        <f>IF(C9="AP",_xlfn.XLOOKUP(D9,Suppliers!A:A,Suppliers!B:B,""),_xlfn.XLOOKUP(D9,Customers!A:A,Customers!B:B,""))</f>
        <v>Mega Distributors</v>
      </c>
      <c r="I9">
        <f>IF(C9="AP",_xlfn.XLOOKUP(D9,Suppliers!A:A,Suppliers!D:D,""),_xlfn.XLOOKUP(D9,Customers!A:A,Customers!D:D,""))</f>
        <v>45</v>
      </c>
      <c r="J9" s="4">
        <f>SUMIF(Payments!C:C,A9,Payments!D:D)</f>
        <v>1800</v>
      </c>
      <c r="K9" s="5">
        <f t="shared" si="2"/>
        <v>0</v>
      </c>
      <c r="L9">
        <f t="shared" si="1"/>
        <v>0</v>
      </c>
    </row>
    <row r="10" spans="1:14">
      <c r="A10" t="s">
        <v>102</v>
      </c>
      <c r="B10" s="1">
        <v>45302</v>
      </c>
      <c r="C10" t="s">
        <v>93</v>
      </c>
      <c r="D10" t="s">
        <v>7</v>
      </c>
      <c r="E10" s="4">
        <v>2400</v>
      </c>
      <c r="F10" s="1">
        <v>45332</v>
      </c>
      <c r="G10" t="str">
        <f t="shared" si="0"/>
        <v>Partially Paid</v>
      </c>
      <c r="H10" t="str">
        <f>IF(C10="AP",_xlfn.XLOOKUP(D10,Suppliers!A:A,Suppliers!B:B,""),_xlfn.XLOOKUP(D10,Customers!A:A,Customers!B:B,""))</f>
        <v>Global IT Services</v>
      </c>
      <c r="I10">
        <f>IF(C10="AP",_xlfn.XLOOKUP(D10,Suppliers!A:A,Suppliers!D:D,""),_xlfn.XLOOKUP(D10,Customers!A:A,Customers!D:D,""))</f>
        <v>45</v>
      </c>
      <c r="J10" s="4">
        <f>SUMIF(Payments!C:C,A10,Payments!D:D)</f>
        <v>1000</v>
      </c>
      <c r="K10" s="4">
        <f t="shared" si="2"/>
        <v>1400</v>
      </c>
      <c r="L10">
        <f t="shared" si="1"/>
        <v>14</v>
      </c>
    </row>
    <row r="11" spans="1:14">
      <c r="A11" t="s">
        <v>103</v>
      </c>
      <c r="B11" s="1">
        <v>45303</v>
      </c>
      <c r="C11" t="s">
        <v>95</v>
      </c>
      <c r="D11" t="s">
        <v>55</v>
      </c>
      <c r="E11" s="4">
        <v>2700</v>
      </c>
      <c r="F11" s="1">
        <v>45333</v>
      </c>
      <c r="G11" t="str">
        <f t="shared" si="0"/>
        <v>Closed</v>
      </c>
      <c r="H11" t="str">
        <f>IF(C11="AP",_xlfn.XLOOKUP(D11,Suppliers!A:A,Suppliers!B:B,""),_xlfn.XLOOKUP(D11,Customers!A:A,Customers!B:B,""))</f>
        <v>Urban Stores</v>
      </c>
      <c r="I11">
        <f>IF(C11="AP",_xlfn.XLOOKUP(D11,Suppliers!A:A,Suppliers!D:D,""),_xlfn.XLOOKUP(D11,Customers!A:A,Customers!D:D,""))</f>
        <v>30</v>
      </c>
      <c r="J11" s="4">
        <f>SUMIF(Payments!C:C,A11,Payments!D:D)</f>
        <v>2700</v>
      </c>
      <c r="K11" s="5">
        <f t="shared" si="2"/>
        <v>0</v>
      </c>
      <c r="L11">
        <f t="shared" si="1"/>
        <v>0</v>
      </c>
    </row>
    <row r="12" spans="1:14">
      <c r="A12" t="s">
        <v>104</v>
      </c>
      <c r="B12" s="1">
        <v>45304</v>
      </c>
      <c r="C12" t="s">
        <v>93</v>
      </c>
      <c r="D12" t="s">
        <v>13</v>
      </c>
      <c r="E12" s="4">
        <v>3600</v>
      </c>
      <c r="F12" s="1">
        <v>45364</v>
      </c>
      <c r="G12" t="s">
        <v>105</v>
      </c>
      <c r="H12" t="s">
        <v>14</v>
      </c>
      <c r="I12">
        <v>60</v>
      </c>
      <c r="J12" s="4">
        <v>0</v>
      </c>
      <c r="K12" s="5">
        <v>3600</v>
      </c>
      <c r="L12">
        <v>0</v>
      </c>
    </row>
    <row r="13" spans="1:14">
      <c r="A13" t="s">
        <v>106</v>
      </c>
      <c r="B13" s="1">
        <v>45305</v>
      </c>
      <c r="C13" t="s">
        <v>95</v>
      </c>
      <c r="D13" t="s">
        <v>59</v>
      </c>
      <c r="E13" s="4">
        <v>1950</v>
      </c>
      <c r="F13" s="1">
        <v>45335</v>
      </c>
      <c r="G13" t="s">
        <v>107</v>
      </c>
      <c r="H13" t="s">
        <v>60</v>
      </c>
      <c r="I13">
        <v>30</v>
      </c>
      <c r="J13" s="4">
        <v>800</v>
      </c>
      <c r="K13" s="5">
        <v>1150</v>
      </c>
      <c r="L13">
        <v>11</v>
      </c>
    </row>
    <row r="14" spans="1:14">
      <c r="A14" t="s">
        <v>108</v>
      </c>
      <c r="B14" s="1">
        <v>45306</v>
      </c>
      <c r="C14" t="s">
        <v>93</v>
      </c>
      <c r="D14" t="s">
        <v>18</v>
      </c>
      <c r="E14" s="4">
        <v>2200</v>
      </c>
      <c r="F14" s="1">
        <v>45351</v>
      </c>
      <c r="G14" t="s">
        <v>105</v>
      </c>
      <c r="H14" t="s">
        <v>19</v>
      </c>
      <c r="I14">
        <v>45</v>
      </c>
      <c r="J14" s="4">
        <v>0</v>
      </c>
      <c r="K14" s="5">
        <v>2200</v>
      </c>
      <c r="L14">
        <v>0</v>
      </c>
    </row>
    <row r="15" spans="1:14">
      <c r="A15" t="s">
        <v>109</v>
      </c>
      <c r="B15" s="1">
        <v>45307</v>
      </c>
      <c r="C15" t="s">
        <v>95</v>
      </c>
      <c r="D15" t="s">
        <v>65</v>
      </c>
      <c r="E15" s="4">
        <v>4100</v>
      </c>
      <c r="F15" s="1">
        <v>45367</v>
      </c>
      <c r="G15" t="s">
        <v>105</v>
      </c>
      <c r="H15" t="s">
        <v>66</v>
      </c>
      <c r="I15">
        <v>60</v>
      </c>
      <c r="J15" s="4">
        <v>0</v>
      </c>
      <c r="K15" s="5">
        <v>4100</v>
      </c>
      <c r="L15">
        <v>0</v>
      </c>
    </row>
    <row r="16" spans="1:14">
      <c r="A16" t="s">
        <v>110</v>
      </c>
      <c r="B16" s="1">
        <v>45308</v>
      </c>
      <c r="C16" t="s">
        <v>93</v>
      </c>
      <c r="D16" t="s">
        <v>31</v>
      </c>
      <c r="E16" s="4">
        <v>1300</v>
      </c>
      <c r="F16" s="1">
        <v>45338</v>
      </c>
      <c r="G16" t="s">
        <v>111</v>
      </c>
      <c r="H16" t="s">
        <v>32</v>
      </c>
      <c r="I16">
        <v>30</v>
      </c>
      <c r="J16" s="4">
        <v>1300</v>
      </c>
      <c r="K16" s="5">
        <v>0</v>
      </c>
      <c r="L16">
        <v>0</v>
      </c>
    </row>
    <row r="17" spans="1:12">
      <c r="A17" t="s">
        <v>112</v>
      </c>
      <c r="B17" s="1">
        <v>45309</v>
      </c>
      <c r="C17" t="s">
        <v>95</v>
      </c>
      <c r="D17" t="s">
        <v>71</v>
      </c>
      <c r="E17" s="4">
        <v>2850</v>
      </c>
      <c r="F17" s="1">
        <v>45339</v>
      </c>
      <c r="G17" t="s">
        <v>107</v>
      </c>
      <c r="H17" t="s">
        <v>72</v>
      </c>
      <c r="I17">
        <v>30</v>
      </c>
      <c r="J17" s="4">
        <v>1000</v>
      </c>
      <c r="K17" s="5">
        <v>1850</v>
      </c>
      <c r="L17">
        <v>7</v>
      </c>
    </row>
    <row r="18" spans="1:12">
      <c r="A18" t="s">
        <v>113</v>
      </c>
      <c r="B18" s="1">
        <v>45310</v>
      </c>
      <c r="C18" t="s">
        <v>93</v>
      </c>
      <c r="D18" t="s">
        <v>33</v>
      </c>
      <c r="E18" s="4">
        <v>950</v>
      </c>
      <c r="F18" s="1">
        <v>45340</v>
      </c>
      <c r="G18" t="s">
        <v>105</v>
      </c>
      <c r="H18" t="s">
        <v>34</v>
      </c>
      <c r="I18">
        <v>30</v>
      </c>
      <c r="J18" s="4">
        <v>0</v>
      </c>
      <c r="K18" s="5">
        <v>950</v>
      </c>
      <c r="L18">
        <v>6</v>
      </c>
    </row>
    <row r="19" spans="1:12">
      <c r="A19" t="s">
        <v>114</v>
      </c>
      <c r="B19" s="1">
        <v>45311</v>
      </c>
      <c r="C19" t="s">
        <v>95</v>
      </c>
      <c r="D19" t="s">
        <v>73</v>
      </c>
      <c r="E19" s="4">
        <v>3750</v>
      </c>
      <c r="F19" s="1">
        <v>45356</v>
      </c>
      <c r="G19" t="s">
        <v>105</v>
      </c>
      <c r="H19" t="s">
        <v>74</v>
      </c>
      <c r="I19">
        <v>45</v>
      </c>
      <c r="J19" s="4">
        <v>0</v>
      </c>
      <c r="K19" s="5">
        <v>3750</v>
      </c>
      <c r="L19">
        <v>0</v>
      </c>
    </row>
    <row r="20" spans="1:12">
      <c r="A20" t="s">
        <v>115</v>
      </c>
      <c r="B20" s="1">
        <v>45313</v>
      </c>
      <c r="C20" t="s">
        <v>93</v>
      </c>
      <c r="D20" t="s">
        <v>36</v>
      </c>
      <c r="E20" s="4">
        <v>2600</v>
      </c>
      <c r="F20" s="1">
        <v>45358</v>
      </c>
      <c r="G20" t="s">
        <v>107</v>
      </c>
      <c r="H20" t="s">
        <v>37</v>
      </c>
      <c r="I20">
        <v>45</v>
      </c>
      <c r="J20" s="4">
        <v>1000</v>
      </c>
      <c r="K20" s="5">
        <v>1600</v>
      </c>
      <c r="L20">
        <v>0</v>
      </c>
    </row>
    <row r="21" spans="1:12">
      <c r="A21" t="s">
        <v>116</v>
      </c>
      <c r="B21" s="1">
        <v>45314</v>
      </c>
      <c r="C21" t="s">
        <v>95</v>
      </c>
      <c r="D21" t="s">
        <v>75</v>
      </c>
      <c r="E21" s="4">
        <v>1650</v>
      </c>
      <c r="F21" s="1">
        <v>45344</v>
      </c>
      <c r="G21" t="s">
        <v>111</v>
      </c>
      <c r="H21" t="s">
        <v>76</v>
      </c>
      <c r="I21">
        <v>30</v>
      </c>
      <c r="J21" s="4">
        <v>1650</v>
      </c>
      <c r="K21" s="5">
        <v>0</v>
      </c>
      <c r="L21">
        <v>0</v>
      </c>
    </row>
    <row r="22" spans="1:12">
      <c r="A22" t="s">
        <v>117</v>
      </c>
      <c r="B22" s="1">
        <v>45315</v>
      </c>
      <c r="C22" t="s">
        <v>93</v>
      </c>
      <c r="D22" t="s">
        <v>38</v>
      </c>
      <c r="E22" s="4">
        <v>1100</v>
      </c>
      <c r="F22" s="1">
        <v>45345</v>
      </c>
      <c r="G22" t="s">
        <v>105</v>
      </c>
      <c r="H22" t="s">
        <v>39</v>
      </c>
      <c r="I22">
        <v>30</v>
      </c>
      <c r="J22" s="4">
        <v>0</v>
      </c>
      <c r="K22" s="5">
        <v>1100</v>
      </c>
      <c r="L22">
        <v>1</v>
      </c>
    </row>
    <row r="23" spans="1:12">
      <c r="A23" t="s">
        <v>118</v>
      </c>
      <c r="B23" s="1">
        <v>45316</v>
      </c>
      <c r="C23" t="s">
        <v>95</v>
      </c>
      <c r="D23" t="s">
        <v>77</v>
      </c>
      <c r="E23" s="4">
        <v>5200</v>
      </c>
      <c r="F23" s="1">
        <v>45376</v>
      </c>
      <c r="G23" t="s">
        <v>105</v>
      </c>
      <c r="H23" t="s">
        <v>78</v>
      </c>
      <c r="I23">
        <v>60</v>
      </c>
      <c r="J23" s="4">
        <v>0</v>
      </c>
      <c r="K23" s="5">
        <v>5200</v>
      </c>
      <c r="L23">
        <v>0</v>
      </c>
    </row>
    <row r="24" spans="1:12">
      <c r="A24" t="s">
        <v>119</v>
      </c>
      <c r="B24" s="1">
        <v>45317</v>
      </c>
      <c r="C24" t="s">
        <v>93</v>
      </c>
      <c r="D24" t="s">
        <v>40</v>
      </c>
      <c r="E24" s="4">
        <v>4500</v>
      </c>
      <c r="F24" s="1">
        <v>45377</v>
      </c>
      <c r="G24" t="s">
        <v>111</v>
      </c>
      <c r="H24" t="s">
        <v>41</v>
      </c>
      <c r="I24">
        <v>60</v>
      </c>
      <c r="J24" s="4">
        <v>4500</v>
      </c>
      <c r="K24" s="5">
        <v>0</v>
      </c>
      <c r="L24">
        <v>0</v>
      </c>
    </row>
    <row r="25" spans="1:12">
      <c r="A25" t="s">
        <v>120</v>
      </c>
      <c r="B25" s="1">
        <v>45318</v>
      </c>
      <c r="C25" t="s">
        <v>95</v>
      </c>
      <c r="D25" t="s">
        <v>57</v>
      </c>
      <c r="E25" s="4">
        <v>2900</v>
      </c>
      <c r="F25" s="1">
        <v>45378</v>
      </c>
      <c r="G25" t="s">
        <v>107</v>
      </c>
      <c r="H25" t="s">
        <v>58</v>
      </c>
      <c r="I25">
        <v>60</v>
      </c>
      <c r="J25" s="4">
        <v>1400</v>
      </c>
      <c r="K25" s="5">
        <v>1500</v>
      </c>
      <c r="L25">
        <v>0</v>
      </c>
    </row>
    <row r="26" spans="1:12">
      <c r="A26" t="s">
        <v>121</v>
      </c>
      <c r="B26" s="1">
        <v>45320</v>
      </c>
      <c r="C26" t="s">
        <v>93</v>
      </c>
      <c r="D26" t="s">
        <v>42</v>
      </c>
      <c r="E26" s="4">
        <v>1750</v>
      </c>
      <c r="F26" s="1">
        <v>45350</v>
      </c>
      <c r="G26" t="s">
        <v>105</v>
      </c>
      <c r="H26" t="s">
        <v>43</v>
      </c>
      <c r="I26">
        <v>30</v>
      </c>
      <c r="J26" s="4">
        <v>0</v>
      </c>
      <c r="K26" s="5">
        <v>1750</v>
      </c>
      <c r="L26">
        <v>0</v>
      </c>
    </row>
    <row r="27" spans="1:12">
      <c r="A27" t="s">
        <v>122</v>
      </c>
      <c r="B27" s="1">
        <v>45321</v>
      </c>
      <c r="C27" t="s">
        <v>95</v>
      </c>
      <c r="D27" t="s">
        <v>61</v>
      </c>
      <c r="E27" s="4">
        <v>2300</v>
      </c>
      <c r="F27" s="1">
        <v>45366</v>
      </c>
      <c r="G27" t="s">
        <v>111</v>
      </c>
      <c r="H27" t="s">
        <v>62</v>
      </c>
      <c r="I27">
        <v>45</v>
      </c>
      <c r="J27" s="4">
        <v>2300</v>
      </c>
      <c r="K27" s="5">
        <v>0</v>
      </c>
      <c r="L27">
        <v>0</v>
      </c>
    </row>
    <row r="28" spans="1:12">
      <c r="A28" t="s">
        <v>123</v>
      </c>
      <c r="B28" s="1">
        <v>45322</v>
      </c>
      <c r="C28" t="s">
        <v>93</v>
      </c>
      <c r="D28" t="s">
        <v>44</v>
      </c>
      <c r="E28" s="4">
        <v>700</v>
      </c>
      <c r="F28" s="1">
        <v>45352</v>
      </c>
      <c r="G28" t="s">
        <v>105</v>
      </c>
      <c r="H28" t="s">
        <v>45</v>
      </c>
      <c r="I28">
        <v>30</v>
      </c>
      <c r="J28" s="4">
        <v>0</v>
      </c>
      <c r="K28" s="5">
        <v>700</v>
      </c>
      <c r="L28">
        <v>0</v>
      </c>
    </row>
    <row r="29" spans="1:12">
      <c r="A29" t="s">
        <v>124</v>
      </c>
      <c r="B29" s="1">
        <v>45323</v>
      </c>
      <c r="C29" t="s">
        <v>95</v>
      </c>
      <c r="D29" t="s">
        <v>63</v>
      </c>
      <c r="E29" s="4">
        <v>3400</v>
      </c>
      <c r="F29" s="1">
        <v>45353</v>
      </c>
      <c r="G29" t="s">
        <v>107</v>
      </c>
      <c r="H29" t="s">
        <v>64</v>
      </c>
      <c r="I29">
        <v>30</v>
      </c>
      <c r="J29" s="4">
        <v>1200</v>
      </c>
      <c r="K29" s="5">
        <v>2200</v>
      </c>
      <c r="L29">
        <v>0</v>
      </c>
    </row>
    <row r="30" spans="1:12">
      <c r="A30" t="s">
        <v>125</v>
      </c>
      <c r="B30" s="1">
        <v>45324</v>
      </c>
      <c r="C30" t="s">
        <v>93</v>
      </c>
      <c r="D30" t="s">
        <v>46</v>
      </c>
      <c r="E30" s="4">
        <v>2150</v>
      </c>
      <c r="F30" s="1">
        <v>45369</v>
      </c>
      <c r="G30" t="s">
        <v>105</v>
      </c>
      <c r="H30" t="s">
        <v>47</v>
      </c>
      <c r="I30">
        <v>45</v>
      </c>
      <c r="J30" s="4">
        <v>0</v>
      </c>
      <c r="K30" s="5">
        <v>2150</v>
      </c>
      <c r="L30">
        <v>0</v>
      </c>
    </row>
    <row r="31" spans="1:12">
      <c r="A31" t="s">
        <v>126</v>
      </c>
      <c r="B31" s="1">
        <v>45325</v>
      </c>
      <c r="C31" t="s">
        <v>95</v>
      </c>
      <c r="D31" t="s">
        <v>67</v>
      </c>
      <c r="E31" s="4">
        <v>1900</v>
      </c>
      <c r="F31" s="1">
        <v>45355</v>
      </c>
      <c r="G31" t="s">
        <v>111</v>
      </c>
      <c r="H31" t="s">
        <v>68</v>
      </c>
      <c r="I31">
        <v>30</v>
      </c>
      <c r="J31" s="4">
        <v>1900</v>
      </c>
      <c r="K31" s="5">
        <v>0</v>
      </c>
      <c r="L31">
        <v>0</v>
      </c>
    </row>
    <row r="32" spans="1:12">
      <c r="A32" t="s">
        <v>127</v>
      </c>
      <c r="B32" s="1">
        <v>45326</v>
      </c>
      <c r="C32" t="s">
        <v>93</v>
      </c>
      <c r="D32" t="s">
        <v>4</v>
      </c>
      <c r="E32" s="4">
        <v>1450</v>
      </c>
      <c r="F32" s="1">
        <v>45356</v>
      </c>
      <c r="G32" t="s">
        <v>105</v>
      </c>
      <c r="H32" t="s">
        <v>5</v>
      </c>
      <c r="I32">
        <v>30</v>
      </c>
      <c r="J32" s="4">
        <v>0</v>
      </c>
      <c r="K32" s="5">
        <v>1450</v>
      </c>
      <c r="L32">
        <v>0</v>
      </c>
    </row>
    <row r="33" spans="1:12">
      <c r="A33" t="s">
        <v>128</v>
      </c>
      <c r="B33" s="1">
        <v>45327</v>
      </c>
      <c r="C33" t="s">
        <v>93</v>
      </c>
      <c r="D33" t="s">
        <v>7</v>
      </c>
      <c r="E33" s="4">
        <v>2800</v>
      </c>
      <c r="F33" s="1">
        <v>45372</v>
      </c>
      <c r="G33" t="s">
        <v>107</v>
      </c>
      <c r="H33" t="s">
        <v>8</v>
      </c>
      <c r="I33">
        <v>45</v>
      </c>
      <c r="J33" s="4">
        <v>1100</v>
      </c>
      <c r="K33" s="5">
        <v>1700</v>
      </c>
      <c r="L33">
        <v>0</v>
      </c>
    </row>
    <row r="34" spans="1:12">
      <c r="A34" t="s">
        <v>129</v>
      </c>
      <c r="B34" s="1">
        <v>45328</v>
      </c>
      <c r="C34" t="s">
        <v>95</v>
      </c>
      <c r="D34" t="s">
        <v>51</v>
      </c>
      <c r="E34" s="4">
        <v>3100</v>
      </c>
      <c r="F34" s="1">
        <v>45358</v>
      </c>
      <c r="G34" t="s">
        <v>105</v>
      </c>
      <c r="H34" t="s">
        <v>52</v>
      </c>
      <c r="I34">
        <v>30</v>
      </c>
      <c r="J34" s="4">
        <v>0</v>
      </c>
      <c r="K34" s="5">
        <v>3100</v>
      </c>
      <c r="L34">
        <v>0</v>
      </c>
    </row>
    <row r="35" spans="1:12">
      <c r="A35" t="s">
        <v>130</v>
      </c>
      <c r="B35" s="1">
        <v>45329</v>
      </c>
      <c r="C35" t="s">
        <v>93</v>
      </c>
      <c r="D35" t="s">
        <v>10</v>
      </c>
      <c r="E35" s="4">
        <v>950</v>
      </c>
      <c r="F35" s="1">
        <v>45359</v>
      </c>
      <c r="G35" t="s">
        <v>111</v>
      </c>
      <c r="H35" t="s">
        <v>11</v>
      </c>
      <c r="I35">
        <v>30</v>
      </c>
      <c r="J35" s="4">
        <v>950</v>
      </c>
      <c r="K35" s="5">
        <v>0</v>
      </c>
      <c r="L35">
        <v>0</v>
      </c>
    </row>
    <row r="36" spans="1:12">
      <c r="A36" t="s">
        <v>131</v>
      </c>
      <c r="B36" s="1">
        <v>45330</v>
      </c>
      <c r="C36" t="s">
        <v>95</v>
      </c>
      <c r="D36" t="s">
        <v>53</v>
      </c>
      <c r="E36" s="4">
        <v>2600</v>
      </c>
      <c r="F36" s="1">
        <v>45375</v>
      </c>
      <c r="G36" t="s">
        <v>107</v>
      </c>
      <c r="H36" t="s">
        <v>54</v>
      </c>
      <c r="I36">
        <v>45</v>
      </c>
      <c r="J36" s="4">
        <v>1000</v>
      </c>
      <c r="K36" s="5">
        <v>1600</v>
      </c>
      <c r="L36">
        <v>0</v>
      </c>
    </row>
    <row r="37" spans="1:12">
      <c r="A37" t="s">
        <v>132</v>
      </c>
      <c r="B37" s="1">
        <v>45331</v>
      </c>
      <c r="C37" t="s">
        <v>93</v>
      </c>
      <c r="D37" t="s">
        <v>13</v>
      </c>
      <c r="E37" s="4">
        <v>4200</v>
      </c>
      <c r="F37" s="1">
        <v>45391</v>
      </c>
      <c r="G37" t="s">
        <v>105</v>
      </c>
      <c r="H37" t="s">
        <v>14</v>
      </c>
      <c r="I37">
        <v>60</v>
      </c>
      <c r="J37" s="4">
        <v>0</v>
      </c>
      <c r="K37" s="5">
        <v>4200</v>
      </c>
      <c r="L37">
        <v>0</v>
      </c>
    </row>
    <row r="38" spans="1:12">
      <c r="A38" t="s">
        <v>133</v>
      </c>
      <c r="B38" s="1">
        <v>45332</v>
      </c>
      <c r="C38" t="s">
        <v>93</v>
      </c>
      <c r="D38" t="s">
        <v>16</v>
      </c>
      <c r="E38" s="4">
        <v>1700</v>
      </c>
      <c r="F38" s="1">
        <v>45362</v>
      </c>
      <c r="G38" t="s">
        <v>111</v>
      </c>
      <c r="H38" t="s">
        <v>17</v>
      </c>
      <c r="I38">
        <v>30</v>
      </c>
      <c r="J38" s="4">
        <v>1700</v>
      </c>
      <c r="K38" s="5">
        <v>0</v>
      </c>
      <c r="L38">
        <v>0</v>
      </c>
    </row>
    <row r="39" spans="1:12">
      <c r="A39" t="s">
        <v>134</v>
      </c>
      <c r="B39" s="1">
        <v>45333</v>
      </c>
      <c r="C39" t="s">
        <v>95</v>
      </c>
      <c r="D39" t="s">
        <v>55</v>
      </c>
      <c r="E39" s="4">
        <v>2250</v>
      </c>
      <c r="F39" s="1">
        <v>45363</v>
      </c>
      <c r="G39" t="s">
        <v>105</v>
      </c>
      <c r="H39" t="s">
        <v>56</v>
      </c>
      <c r="I39">
        <v>30</v>
      </c>
      <c r="J39" s="4">
        <v>0</v>
      </c>
      <c r="K39" s="5">
        <v>2250</v>
      </c>
      <c r="L39">
        <v>0</v>
      </c>
    </row>
    <row r="40" spans="1:12">
      <c r="A40" t="s">
        <v>135</v>
      </c>
      <c r="B40" s="1">
        <v>45334</v>
      </c>
      <c r="C40" t="s">
        <v>93</v>
      </c>
      <c r="D40" t="s">
        <v>18</v>
      </c>
      <c r="E40" s="4">
        <v>3300</v>
      </c>
      <c r="F40" s="1">
        <v>45379</v>
      </c>
      <c r="G40" t="s">
        <v>107</v>
      </c>
      <c r="H40" t="s">
        <v>19</v>
      </c>
      <c r="I40">
        <v>45</v>
      </c>
      <c r="J40" s="4">
        <v>1500</v>
      </c>
      <c r="K40" s="5">
        <v>1800</v>
      </c>
      <c r="L40">
        <v>0</v>
      </c>
    </row>
    <row r="41" spans="1:12">
      <c r="A41" t="s">
        <v>136</v>
      </c>
      <c r="B41" s="1">
        <v>45335</v>
      </c>
      <c r="C41" t="s">
        <v>95</v>
      </c>
      <c r="D41" t="s">
        <v>57</v>
      </c>
      <c r="E41" s="4">
        <v>4800</v>
      </c>
      <c r="F41" s="1">
        <v>45395</v>
      </c>
      <c r="G41" t="s">
        <v>105</v>
      </c>
      <c r="H41" t="s">
        <v>58</v>
      </c>
      <c r="I41">
        <v>60</v>
      </c>
      <c r="J41" s="4">
        <v>0</v>
      </c>
      <c r="K41" s="5">
        <v>4800</v>
      </c>
      <c r="L41">
        <v>0</v>
      </c>
    </row>
    <row r="42" spans="1:12">
      <c r="A42" t="s">
        <v>137</v>
      </c>
      <c r="B42" s="1">
        <v>45336</v>
      </c>
      <c r="C42" t="s">
        <v>93</v>
      </c>
      <c r="D42" t="s">
        <v>21</v>
      </c>
      <c r="E42" s="4">
        <v>1250</v>
      </c>
      <c r="F42" s="1">
        <v>45366</v>
      </c>
      <c r="G42" t="s">
        <v>105</v>
      </c>
      <c r="H42" t="s">
        <v>22</v>
      </c>
      <c r="I42">
        <v>30</v>
      </c>
      <c r="J42" s="4">
        <v>0</v>
      </c>
      <c r="K42" s="5">
        <v>1250</v>
      </c>
      <c r="L42">
        <v>0</v>
      </c>
    </row>
    <row r="43" spans="1:12">
      <c r="A43" t="s">
        <v>138</v>
      </c>
      <c r="B43" s="1">
        <v>45337</v>
      </c>
      <c r="C43" t="s">
        <v>93</v>
      </c>
      <c r="D43" t="s">
        <v>23</v>
      </c>
      <c r="E43" s="4">
        <v>3900</v>
      </c>
      <c r="F43" s="1">
        <v>45397</v>
      </c>
      <c r="G43" t="s">
        <v>111</v>
      </c>
      <c r="H43" t="s">
        <v>24</v>
      </c>
      <c r="I43">
        <v>60</v>
      </c>
      <c r="J43" s="4">
        <v>3900</v>
      </c>
      <c r="K43" s="5">
        <v>0</v>
      </c>
      <c r="L43">
        <v>0</v>
      </c>
    </row>
    <row r="44" spans="1:12">
      <c r="A44" t="s">
        <v>139</v>
      </c>
      <c r="B44" s="1">
        <v>45338</v>
      </c>
      <c r="C44" t="s">
        <v>95</v>
      </c>
      <c r="D44" t="s">
        <v>59</v>
      </c>
      <c r="E44" s="4">
        <v>1850</v>
      </c>
      <c r="F44" s="1">
        <v>45368</v>
      </c>
      <c r="G44" t="s">
        <v>107</v>
      </c>
      <c r="H44" t="s">
        <v>60</v>
      </c>
      <c r="I44">
        <v>30</v>
      </c>
      <c r="J44" s="4">
        <v>700</v>
      </c>
      <c r="K44" s="5">
        <v>1150</v>
      </c>
      <c r="L44">
        <v>0</v>
      </c>
    </row>
    <row r="45" spans="1:12">
      <c r="A45" t="s">
        <v>140</v>
      </c>
      <c r="B45" s="1">
        <v>45339</v>
      </c>
      <c r="C45" t="s">
        <v>93</v>
      </c>
      <c r="D45" t="s">
        <v>26</v>
      </c>
      <c r="E45" s="4">
        <v>2100</v>
      </c>
      <c r="F45" s="1">
        <v>45369</v>
      </c>
      <c r="G45" t="s">
        <v>105</v>
      </c>
      <c r="H45" t="s">
        <v>27</v>
      </c>
      <c r="I45">
        <v>30</v>
      </c>
      <c r="J45" s="4">
        <v>0</v>
      </c>
      <c r="K45" s="5">
        <v>2100</v>
      </c>
      <c r="L45">
        <v>0</v>
      </c>
    </row>
    <row r="46" spans="1:12">
      <c r="A46" t="s">
        <v>141</v>
      </c>
      <c r="B46" s="1">
        <v>45340</v>
      </c>
      <c r="C46" t="s">
        <v>95</v>
      </c>
      <c r="D46" t="s">
        <v>61</v>
      </c>
      <c r="E46" s="4">
        <v>3650</v>
      </c>
      <c r="F46" s="1">
        <v>45385</v>
      </c>
      <c r="G46" t="s">
        <v>111</v>
      </c>
      <c r="H46" t="s">
        <v>62</v>
      </c>
      <c r="I46">
        <v>45</v>
      </c>
      <c r="J46" s="4">
        <v>3650</v>
      </c>
      <c r="K46" s="5">
        <v>0</v>
      </c>
      <c r="L46">
        <v>0</v>
      </c>
    </row>
    <row r="47" spans="1:12">
      <c r="A47" t="s">
        <v>142</v>
      </c>
      <c r="B47" s="1">
        <v>45341</v>
      </c>
      <c r="C47" t="s">
        <v>93</v>
      </c>
      <c r="D47" t="s">
        <v>28</v>
      </c>
      <c r="E47" s="4">
        <v>1600</v>
      </c>
      <c r="F47" s="1">
        <v>45386</v>
      </c>
      <c r="G47" t="s">
        <v>107</v>
      </c>
      <c r="H47" t="s">
        <v>29</v>
      </c>
      <c r="I47">
        <v>45</v>
      </c>
      <c r="J47" s="4">
        <v>600</v>
      </c>
      <c r="K47" s="5">
        <v>1000</v>
      </c>
      <c r="L47">
        <v>0</v>
      </c>
    </row>
    <row r="48" spans="1:12">
      <c r="A48" t="s">
        <v>143</v>
      </c>
      <c r="B48" s="1">
        <v>45342</v>
      </c>
      <c r="C48" t="s">
        <v>93</v>
      </c>
      <c r="D48" t="s">
        <v>31</v>
      </c>
      <c r="E48" s="4">
        <v>875</v>
      </c>
      <c r="F48" s="1">
        <v>45372</v>
      </c>
      <c r="G48" t="s">
        <v>105</v>
      </c>
      <c r="H48" t="s">
        <v>32</v>
      </c>
      <c r="I48">
        <v>30</v>
      </c>
      <c r="J48" s="4">
        <v>0</v>
      </c>
      <c r="K48" s="5">
        <v>875</v>
      </c>
      <c r="L48">
        <v>0</v>
      </c>
    </row>
    <row r="49" spans="1:12">
      <c r="A49" t="s">
        <v>144</v>
      </c>
      <c r="B49" s="1">
        <v>45343</v>
      </c>
      <c r="C49" t="s">
        <v>95</v>
      </c>
      <c r="D49" t="s">
        <v>63</v>
      </c>
      <c r="E49" s="4">
        <v>2950</v>
      </c>
      <c r="F49" s="1">
        <v>45373</v>
      </c>
      <c r="G49" t="s">
        <v>105</v>
      </c>
      <c r="H49" t="s">
        <v>64</v>
      </c>
      <c r="I49">
        <v>30</v>
      </c>
      <c r="J49" s="4">
        <v>0</v>
      </c>
      <c r="K49" s="5">
        <v>2950</v>
      </c>
      <c r="L49">
        <v>0</v>
      </c>
    </row>
    <row r="50" spans="1:12">
      <c r="A50" t="s">
        <v>145</v>
      </c>
      <c r="B50" s="1">
        <v>45344</v>
      </c>
      <c r="C50" t="s">
        <v>93</v>
      </c>
      <c r="D50" t="s">
        <v>33</v>
      </c>
      <c r="E50" s="4">
        <v>1350</v>
      </c>
      <c r="F50" s="1">
        <v>45374</v>
      </c>
      <c r="G50" t="s">
        <v>111</v>
      </c>
      <c r="H50" t="s">
        <v>34</v>
      </c>
      <c r="I50">
        <v>30</v>
      </c>
      <c r="J50" s="4">
        <v>1350</v>
      </c>
      <c r="K50" s="5">
        <v>0</v>
      </c>
      <c r="L50">
        <v>0</v>
      </c>
    </row>
    <row r="51" spans="1:12">
      <c r="A51" t="s">
        <v>146</v>
      </c>
      <c r="B51" s="1">
        <v>45345</v>
      </c>
      <c r="C51" t="s">
        <v>95</v>
      </c>
      <c r="D51" t="s">
        <v>65</v>
      </c>
      <c r="E51" s="4">
        <v>5100</v>
      </c>
      <c r="F51" s="1">
        <v>45405</v>
      </c>
      <c r="G51" t="s">
        <v>107</v>
      </c>
      <c r="H51" t="s">
        <v>66</v>
      </c>
      <c r="I51">
        <v>60</v>
      </c>
      <c r="J51" s="4">
        <v>2000</v>
      </c>
      <c r="K51" s="5">
        <v>3100</v>
      </c>
      <c r="L51">
        <v>0</v>
      </c>
    </row>
    <row r="52" spans="1:12">
      <c r="A52" t="s">
        <v>147</v>
      </c>
      <c r="B52" s="1">
        <v>45295</v>
      </c>
      <c r="C52" t="s">
        <v>93</v>
      </c>
      <c r="D52" t="s">
        <v>36</v>
      </c>
      <c r="E52" s="4">
        <v>2750</v>
      </c>
      <c r="F52" s="1">
        <v>45340</v>
      </c>
      <c r="G52" t="s">
        <v>105</v>
      </c>
      <c r="H52" t="s">
        <v>37</v>
      </c>
      <c r="I52">
        <v>45</v>
      </c>
      <c r="J52" s="4">
        <v>0</v>
      </c>
      <c r="K52" s="5">
        <v>2750</v>
      </c>
      <c r="L52">
        <v>6</v>
      </c>
    </row>
    <row r="53" spans="1:12">
      <c r="A53" t="s">
        <v>148</v>
      </c>
      <c r="B53" s="1">
        <v>45296</v>
      </c>
      <c r="C53" t="s">
        <v>95</v>
      </c>
      <c r="D53" t="s">
        <v>69</v>
      </c>
      <c r="E53" s="4">
        <v>3250</v>
      </c>
      <c r="F53" s="1">
        <v>45341</v>
      </c>
      <c r="G53" t="s">
        <v>107</v>
      </c>
      <c r="H53" t="s">
        <v>70</v>
      </c>
      <c r="I53">
        <v>45</v>
      </c>
      <c r="J53" s="4">
        <v>1250</v>
      </c>
      <c r="K53" s="5">
        <v>2000</v>
      </c>
      <c r="L53">
        <v>5</v>
      </c>
    </row>
    <row r="54" spans="1:12">
      <c r="A54" t="s">
        <v>149</v>
      </c>
      <c r="B54" s="1">
        <v>45297</v>
      </c>
      <c r="C54" t="s">
        <v>93</v>
      </c>
      <c r="D54" t="s">
        <v>38</v>
      </c>
      <c r="E54" s="4">
        <v>1200</v>
      </c>
      <c r="F54" s="1">
        <v>45327</v>
      </c>
      <c r="G54" t="s">
        <v>111</v>
      </c>
      <c r="H54" t="s">
        <v>39</v>
      </c>
      <c r="I54">
        <v>30</v>
      </c>
      <c r="J54" s="4">
        <v>1200</v>
      </c>
      <c r="K54" s="5">
        <v>0</v>
      </c>
      <c r="L54">
        <v>0</v>
      </c>
    </row>
    <row r="55" spans="1:12">
      <c r="A55" t="s">
        <v>150</v>
      </c>
      <c r="B55" s="1">
        <v>45298</v>
      </c>
      <c r="C55" t="s">
        <v>93</v>
      </c>
      <c r="D55" t="s">
        <v>40</v>
      </c>
      <c r="E55" s="4">
        <v>4750</v>
      </c>
      <c r="F55" s="1">
        <v>45358</v>
      </c>
      <c r="G55" t="s">
        <v>105</v>
      </c>
      <c r="H55" t="s">
        <v>41</v>
      </c>
      <c r="I55">
        <v>60</v>
      </c>
      <c r="J55" s="4">
        <v>0</v>
      </c>
      <c r="K55" s="5">
        <v>4750</v>
      </c>
      <c r="L55">
        <v>0</v>
      </c>
    </row>
    <row r="56" spans="1:12">
      <c r="A56" t="s">
        <v>151</v>
      </c>
      <c r="B56" s="1">
        <v>45299</v>
      </c>
      <c r="C56" t="s">
        <v>95</v>
      </c>
      <c r="D56" t="s">
        <v>71</v>
      </c>
      <c r="E56" s="4">
        <v>2400</v>
      </c>
      <c r="F56" s="1">
        <v>45329</v>
      </c>
      <c r="G56" t="s">
        <v>105</v>
      </c>
      <c r="H56" t="s">
        <v>72</v>
      </c>
      <c r="I56">
        <v>30</v>
      </c>
      <c r="J56" s="4">
        <v>0</v>
      </c>
      <c r="K56" s="5">
        <v>2400</v>
      </c>
      <c r="L56">
        <v>17</v>
      </c>
    </row>
    <row r="57" spans="1:12">
      <c r="A57" t="s">
        <v>152</v>
      </c>
      <c r="B57" s="1">
        <v>45300</v>
      </c>
      <c r="C57" t="s">
        <v>93</v>
      </c>
      <c r="D57" t="s">
        <v>42</v>
      </c>
      <c r="E57" s="4">
        <v>1850</v>
      </c>
      <c r="F57" s="1">
        <v>45330</v>
      </c>
      <c r="G57" t="s">
        <v>107</v>
      </c>
      <c r="H57" t="s">
        <v>43</v>
      </c>
      <c r="I57">
        <v>30</v>
      </c>
      <c r="J57" s="4">
        <v>700</v>
      </c>
      <c r="K57" s="5">
        <v>1150</v>
      </c>
      <c r="L57">
        <v>16</v>
      </c>
    </row>
    <row r="58" spans="1:12">
      <c r="A58" t="s">
        <v>153</v>
      </c>
      <c r="B58" s="1">
        <v>45301</v>
      </c>
      <c r="C58" t="s">
        <v>95</v>
      </c>
      <c r="D58" t="s">
        <v>73</v>
      </c>
      <c r="E58" s="4">
        <v>4600</v>
      </c>
      <c r="F58" s="1">
        <v>45346</v>
      </c>
      <c r="G58" t="s">
        <v>111</v>
      </c>
      <c r="H58" t="s">
        <v>74</v>
      </c>
      <c r="I58">
        <v>45</v>
      </c>
      <c r="J58" s="4">
        <v>4600</v>
      </c>
      <c r="K58" s="5">
        <v>0</v>
      </c>
      <c r="L58">
        <v>0</v>
      </c>
    </row>
    <row r="59" spans="1:12">
      <c r="A59" t="s">
        <v>154</v>
      </c>
      <c r="B59" s="1">
        <v>45302</v>
      </c>
      <c r="C59" t="s">
        <v>93</v>
      </c>
      <c r="D59" t="s">
        <v>44</v>
      </c>
      <c r="E59" s="4">
        <v>950</v>
      </c>
      <c r="F59" s="1">
        <v>45332</v>
      </c>
      <c r="G59" t="s">
        <v>105</v>
      </c>
      <c r="H59" t="s">
        <v>45</v>
      </c>
      <c r="I59">
        <v>30</v>
      </c>
      <c r="J59" s="4">
        <v>0</v>
      </c>
      <c r="K59" s="5">
        <v>950</v>
      </c>
      <c r="L59">
        <v>14</v>
      </c>
    </row>
    <row r="60" spans="1:12">
      <c r="A60" t="s">
        <v>155</v>
      </c>
      <c r="B60" s="1">
        <v>45303</v>
      </c>
      <c r="C60" t="s">
        <v>93</v>
      </c>
      <c r="D60" t="s">
        <v>46</v>
      </c>
      <c r="E60" s="4">
        <v>3100</v>
      </c>
      <c r="F60" s="1">
        <v>45348</v>
      </c>
      <c r="G60" t="s">
        <v>105</v>
      </c>
      <c r="H60" t="s">
        <v>47</v>
      </c>
      <c r="I60">
        <v>45</v>
      </c>
      <c r="J60" s="4">
        <v>0</v>
      </c>
      <c r="K60" s="5">
        <v>3100</v>
      </c>
      <c r="L60">
        <v>0</v>
      </c>
    </row>
    <row r="61" spans="1:12">
      <c r="A61" t="s">
        <v>156</v>
      </c>
      <c r="B61" s="1">
        <v>45304</v>
      </c>
      <c r="C61" t="s">
        <v>95</v>
      </c>
      <c r="D61" t="s">
        <v>75</v>
      </c>
      <c r="E61" s="4">
        <v>1900</v>
      </c>
      <c r="F61" s="1">
        <v>45334</v>
      </c>
      <c r="G61" t="s">
        <v>107</v>
      </c>
      <c r="H61" t="s">
        <v>76</v>
      </c>
      <c r="I61">
        <v>30</v>
      </c>
      <c r="J61" s="4">
        <v>900</v>
      </c>
      <c r="K61" s="5">
        <v>1000</v>
      </c>
      <c r="L61">
        <v>12</v>
      </c>
    </row>
    <row r="62" spans="1:12">
      <c r="A62" t="s">
        <v>157</v>
      </c>
      <c r="B62" s="1">
        <v>45305</v>
      </c>
      <c r="C62" t="s">
        <v>93</v>
      </c>
      <c r="D62" t="s">
        <v>4</v>
      </c>
      <c r="E62" s="4">
        <v>1350</v>
      </c>
      <c r="F62" s="1">
        <v>45335</v>
      </c>
      <c r="G62" t="s">
        <v>111</v>
      </c>
      <c r="H62" t="s">
        <v>5</v>
      </c>
      <c r="I62">
        <v>30</v>
      </c>
      <c r="J62" s="4">
        <v>1350</v>
      </c>
      <c r="K62" s="5">
        <v>0</v>
      </c>
      <c r="L62">
        <v>0</v>
      </c>
    </row>
    <row r="63" spans="1:12">
      <c r="A63" t="s">
        <v>158</v>
      </c>
      <c r="B63" s="1">
        <v>45306</v>
      </c>
      <c r="C63" t="s">
        <v>95</v>
      </c>
      <c r="D63" t="s">
        <v>77</v>
      </c>
      <c r="E63" s="4">
        <v>5500</v>
      </c>
      <c r="F63" s="1">
        <v>45366</v>
      </c>
      <c r="G63" t="s">
        <v>105</v>
      </c>
      <c r="H63" t="s">
        <v>78</v>
      </c>
      <c r="I63">
        <v>60</v>
      </c>
      <c r="J63" s="4">
        <v>0</v>
      </c>
      <c r="K63" s="5">
        <v>5500</v>
      </c>
      <c r="L63">
        <v>0</v>
      </c>
    </row>
    <row r="64" spans="1:12">
      <c r="A64" t="s">
        <v>159</v>
      </c>
      <c r="B64" s="1">
        <v>45307</v>
      </c>
      <c r="C64" t="s">
        <v>93</v>
      </c>
      <c r="D64" t="s">
        <v>7</v>
      </c>
      <c r="E64" s="4">
        <v>2650</v>
      </c>
      <c r="F64" s="1">
        <v>45352</v>
      </c>
      <c r="G64" t="s">
        <v>107</v>
      </c>
      <c r="H64" t="s">
        <v>8</v>
      </c>
      <c r="I64">
        <v>45</v>
      </c>
      <c r="J64" s="4">
        <v>1000</v>
      </c>
      <c r="K64" s="5">
        <v>1650</v>
      </c>
      <c r="L64">
        <v>0</v>
      </c>
    </row>
    <row r="65" spans="1:12">
      <c r="A65" t="s">
        <v>160</v>
      </c>
      <c r="B65" s="1">
        <v>45308</v>
      </c>
      <c r="C65" t="s">
        <v>93</v>
      </c>
      <c r="D65" t="s">
        <v>10</v>
      </c>
      <c r="E65" s="4">
        <v>1100</v>
      </c>
      <c r="F65" s="1">
        <v>45338</v>
      </c>
      <c r="G65" t="s">
        <v>105</v>
      </c>
      <c r="H65" t="s">
        <v>11</v>
      </c>
      <c r="I65">
        <v>30</v>
      </c>
      <c r="J65" s="4">
        <v>0</v>
      </c>
      <c r="K65" s="5">
        <v>1100</v>
      </c>
      <c r="L65">
        <v>8</v>
      </c>
    </row>
    <row r="66" spans="1:12">
      <c r="A66" t="s">
        <v>161</v>
      </c>
      <c r="B66" s="1">
        <v>45309</v>
      </c>
      <c r="C66" t="s">
        <v>95</v>
      </c>
      <c r="D66" t="s">
        <v>51</v>
      </c>
      <c r="E66" s="4">
        <v>3750</v>
      </c>
      <c r="F66" s="1">
        <v>45339</v>
      </c>
      <c r="G66" t="s">
        <v>111</v>
      </c>
      <c r="H66" t="s">
        <v>52</v>
      </c>
      <c r="I66">
        <v>30</v>
      </c>
      <c r="J66" s="4">
        <v>3750</v>
      </c>
      <c r="K66" s="5">
        <v>0</v>
      </c>
      <c r="L66">
        <v>0</v>
      </c>
    </row>
    <row r="67" spans="1:12">
      <c r="A67" t="s">
        <v>162</v>
      </c>
      <c r="B67" s="1">
        <v>45310</v>
      </c>
      <c r="C67" t="s">
        <v>93</v>
      </c>
      <c r="D67" t="s">
        <v>13</v>
      </c>
      <c r="E67" s="4">
        <v>4300</v>
      </c>
      <c r="F67" s="1">
        <v>45370</v>
      </c>
      <c r="G67" t="s">
        <v>105</v>
      </c>
      <c r="H67" t="s">
        <v>14</v>
      </c>
      <c r="I67">
        <v>60</v>
      </c>
      <c r="J67" s="4">
        <v>0</v>
      </c>
      <c r="K67" s="5">
        <v>4300</v>
      </c>
      <c r="L67">
        <v>0</v>
      </c>
    </row>
    <row r="68" spans="1:12">
      <c r="A68" t="s">
        <v>163</v>
      </c>
      <c r="B68" s="1">
        <v>45311</v>
      </c>
      <c r="C68" t="s">
        <v>95</v>
      </c>
      <c r="D68" t="s">
        <v>53</v>
      </c>
      <c r="E68" s="4">
        <v>2850</v>
      </c>
      <c r="F68" s="1">
        <v>45356</v>
      </c>
      <c r="G68" t="s">
        <v>107</v>
      </c>
      <c r="H68" t="s">
        <v>54</v>
      </c>
      <c r="I68">
        <v>45</v>
      </c>
      <c r="J68" s="4">
        <v>1100</v>
      </c>
      <c r="K68" s="5">
        <v>1750</v>
      </c>
      <c r="L68">
        <v>0</v>
      </c>
    </row>
    <row r="69" spans="1:12">
      <c r="A69" t="s">
        <v>164</v>
      </c>
      <c r="B69" s="1">
        <v>45312</v>
      </c>
      <c r="C69" t="s">
        <v>93</v>
      </c>
      <c r="D69" t="s">
        <v>16</v>
      </c>
      <c r="E69" s="4">
        <v>1650</v>
      </c>
      <c r="F69" s="1">
        <v>45342</v>
      </c>
      <c r="G69" t="s">
        <v>105</v>
      </c>
      <c r="H69" t="s">
        <v>17</v>
      </c>
      <c r="I69">
        <v>30</v>
      </c>
      <c r="J69" s="4">
        <v>0</v>
      </c>
      <c r="K69" s="5">
        <v>1650</v>
      </c>
      <c r="L69">
        <v>4</v>
      </c>
    </row>
    <row r="70" spans="1:12">
      <c r="A70" t="s">
        <v>165</v>
      </c>
      <c r="B70" s="1">
        <v>45313</v>
      </c>
      <c r="C70" t="s">
        <v>93</v>
      </c>
      <c r="D70" t="s">
        <v>18</v>
      </c>
      <c r="E70" s="4">
        <v>3500</v>
      </c>
      <c r="F70" s="1">
        <v>45358</v>
      </c>
      <c r="G70" t="s">
        <v>111</v>
      </c>
      <c r="H70" t="s">
        <v>19</v>
      </c>
      <c r="I70">
        <v>45</v>
      </c>
      <c r="J70" s="4">
        <v>3500</v>
      </c>
      <c r="K70" s="5">
        <v>0</v>
      </c>
      <c r="L70">
        <v>0</v>
      </c>
    </row>
    <row r="71" spans="1:12">
      <c r="A71" t="s">
        <v>166</v>
      </c>
      <c r="B71" s="1">
        <v>45314</v>
      </c>
      <c r="C71" t="s">
        <v>95</v>
      </c>
      <c r="D71" t="s">
        <v>55</v>
      </c>
      <c r="E71" s="4">
        <v>2250</v>
      </c>
      <c r="F71" s="1">
        <v>45344</v>
      </c>
      <c r="G71" t="s">
        <v>105</v>
      </c>
      <c r="H71" t="s">
        <v>56</v>
      </c>
      <c r="I71">
        <v>30</v>
      </c>
      <c r="J71" s="4">
        <v>0</v>
      </c>
      <c r="K71" s="5">
        <v>2250</v>
      </c>
      <c r="L71">
        <v>2</v>
      </c>
    </row>
    <row r="72" spans="1:12">
      <c r="A72" t="s">
        <v>167</v>
      </c>
      <c r="B72" s="1">
        <v>45315</v>
      </c>
      <c r="C72" t="s">
        <v>93</v>
      </c>
      <c r="D72" t="s">
        <v>21</v>
      </c>
      <c r="E72" s="4">
        <v>1400</v>
      </c>
      <c r="F72" s="1">
        <v>45345</v>
      </c>
      <c r="G72" t="s">
        <v>105</v>
      </c>
      <c r="H72" t="s">
        <v>22</v>
      </c>
      <c r="I72">
        <v>30</v>
      </c>
      <c r="J72" s="4">
        <v>0</v>
      </c>
      <c r="K72" s="5">
        <v>1400</v>
      </c>
      <c r="L72">
        <v>1</v>
      </c>
    </row>
    <row r="73" spans="1:12">
      <c r="A73" t="s">
        <v>168</v>
      </c>
      <c r="B73" s="1">
        <v>45316</v>
      </c>
      <c r="C73" t="s">
        <v>95</v>
      </c>
      <c r="D73" t="s">
        <v>57</v>
      </c>
      <c r="E73" s="4">
        <v>4250</v>
      </c>
      <c r="F73" s="1">
        <v>45376</v>
      </c>
      <c r="G73" t="s">
        <v>105</v>
      </c>
      <c r="H73" t="s">
        <v>58</v>
      </c>
      <c r="I73">
        <v>60</v>
      </c>
      <c r="J73" s="4">
        <v>0</v>
      </c>
      <c r="K73" s="5">
        <v>4250</v>
      </c>
      <c r="L73">
        <v>0</v>
      </c>
    </row>
    <row r="74" spans="1:12">
      <c r="A74" t="s">
        <v>169</v>
      </c>
      <c r="B74" s="1">
        <v>45317</v>
      </c>
      <c r="C74" t="s">
        <v>93</v>
      </c>
      <c r="D74" t="s">
        <v>23</v>
      </c>
      <c r="E74" s="4">
        <v>3600</v>
      </c>
      <c r="F74" s="1">
        <v>45377</v>
      </c>
      <c r="G74" t="s">
        <v>111</v>
      </c>
      <c r="H74" t="s">
        <v>24</v>
      </c>
      <c r="I74">
        <v>60</v>
      </c>
      <c r="J74" s="4">
        <v>3600</v>
      </c>
      <c r="K74" s="5">
        <v>0</v>
      </c>
      <c r="L74">
        <v>0</v>
      </c>
    </row>
    <row r="75" spans="1:12">
      <c r="A75" t="s">
        <v>170</v>
      </c>
      <c r="B75" s="1">
        <v>45318</v>
      </c>
      <c r="C75" t="s">
        <v>95</v>
      </c>
      <c r="D75" t="s">
        <v>59</v>
      </c>
      <c r="E75" s="4">
        <v>2100</v>
      </c>
      <c r="F75" s="1">
        <v>45348</v>
      </c>
      <c r="G75" t="s">
        <v>105</v>
      </c>
      <c r="H75" t="s">
        <v>60</v>
      </c>
      <c r="I75">
        <v>30</v>
      </c>
      <c r="J75" s="4">
        <v>0</v>
      </c>
      <c r="K75" s="5">
        <v>2100</v>
      </c>
      <c r="L75">
        <v>0</v>
      </c>
    </row>
    <row r="76" spans="1:12">
      <c r="A76" t="s">
        <v>171</v>
      </c>
      <c r="B76" s="1">
        <v>45319</v>
      </c>
      <c r="C76" t="s">
        <v>93</v>
      </c>
      <c r="D76" t="s">
        <v>26</v>
      </c>
      <c r="E76" s="4">
        <v>1950</v>
      </c>
      <c r="F76" s="1">
        <v>45349</v>
      </c>
      <c r="G76" t="s">
        <v>107</v>
      </c>
      <c r="H76" t="s">
        <v>27</v>
      </c>
      <c r="I76">
        <v>30</v>
      </c>
      <c r="J76" s="4">
        <v>750</v>
      </c>
      <c r="K76" s="5">
        <v>1200</v>
      </c>
      <c r="L76">
        <v>0</v>
      </c>
    </row>
    <row r="77" spans="1:12">
      <c r="A77" t="s">
        <v>172</v>
      </c>
      <c r="B77" s="1">
        <v>45320</v>
      </c>
      <c r="C77" t="s">
        <v>93</v>
      </c>
      <c r="D77" t="s">
        <v>28</v>
      </c>
      <c r="E77" s="4">
        <v>2700</v>
      </c>
      <c r="F77" s="1">
        <v>45365</v>
      </c>
      <c r="G77" t="s">
        <v>105</v>
      </c>
      <c r="H77" t="s">
        <v>29</v>
      </c>
      <c r="I77">
        <v>45</v>
      </c>
      <c r="J77" s="4">
        <v>0</v>
      </c>
      <c r="K77" s="5">
        <v>2700</v>
      </c>
      <c r="L77">
        <v>0</v>
      </c>
    </row>
    <row r="78" spans="1:12">
      <c r="A78" t="s">
        <v>173</v>
      </c>
      <c r="B78" s="1">
        <v>45321</v>
      </c>
      <c r="C78" t="s">
        <v>95</v>
      </c>
      <c r="D78" t="s">
        <v>61</v>
      </c>
      <c r="E78" s="4">
        <v>3300</v>
      </c>
      <c r="F78" s="1">
        <v>45366</v>
      </c>
      <c r="G78" t="s">
        <v>111</v>
      </c>
      <c r="H78" t="s">
        <v>62</v>
      </c>
      <c r="I78">
        <v>45</v>
      </c>
      <c r="J78" s="4">
        <v>3300</v>
      </c>
      <c r="K78" s="5">
        <v>0</v>
      </c>
      <c r="L78">
        <v>0</v>
      </c>
    </row>
    <row r="79" spans="1:12">
      <c r="A79" t="s">
        <v>174</v>
      </c>
      <c r="B79" s="1">
        <v>45322</v>
      </c>
      <c r="C79" t="s">
        <v>93</v>
      </c>
      <c r="D79" t="s">
        <v>31</v>
      </c>
      <c r="E79" s="4">
        <v>1150</v>
      </c>
      <c r="F79" s="1">
        <v>45352</v>
      </c>
      <c r="G79" t="s">
        <v>105</v>
      </c>
      <c r="H79" t="s">
        <v>32</v>
      </c>
      <c r="I79">
        <v>30</v>
      </c>
      <c r="J79" s="4">
        <v>0</v>
      </c>
      <c r="K79" s="5">
        <v>1150</v>
      </c>
      <c r="L79">
        <v>0</v>
      </c>
    </row>
    <row r="80" spans="1:12">
      <c r="A80" t="s">
        <v>175</v>
      </c>
      <c r="B80" s="1">
        <v>45323</v>
      </c>
      <c r="C80" t="s">
        <v>95</v>
      </c>
      <c r="D80" t="s">
        <v>67</v>
      </c>
      <c r="E80" s="4">
        <v>2650</v>
      </c>
      <c r="F80" s="1">
        <v>45353</v>
      </c>
      <c r="G80" t="s">
        <v>107</v>
      </c>
      <c r="H80" t="s">
        <v>68</v>
      </c>
      <c r="I80">
        <v>30</v>
      </c>
      <c r="J80" s="4">
        <v>1000</v>
      </c>
      <c r="K80" s="5">
        <v>1650</v>
      </c>
      <c r="L80">
        <v>0</v>
      </c>
    </row>
    <row r="81" spans="1:12">
      <c r="A81" t="s">
        <v>176</v>
      </c>
      <c r="B81" s="1">
        <v>45324</v>
      </c>
      <c r="C81" t="s">
        <v>93</v>
      </c>
      <c r="D81" t="s">
        <v>33</v>
      </c>
      <c r="E81" s="4">
        <v>1500</v>
      </c>
      <c r="F81" s="1">
        <v>45354</v>
      </c>
      <c r="G81" t="s">
        <v>111</v>
      </c>
      <c r="H81" t="s">
        <v>34</v>
      </c>
      <c r="I81">
        <v>30</v>
      </c>
      <c r="J81" s="4">
        <v>1500</v>
      </c>
      <c r="K81" s="5">
        <v>0</v>
      </c>
      <c r="L81">
        <v>0</v>
      </c>
    </row>
    <row r="82" spans="1:12">
      <c r="A82" t="s">
        <v>177</v>
      </c>
      <c r="B82" s="1">
        <v>45325</v>
      </c>
      <c r="C82" t="s">
        <v>93</v>
      </c>
      <c r="D82" t="s">
        <v>36</v>
      </c>
      <c r="E82" s="4">
        <v>3250</v>
      </c>
      <c r="F82" s="1">
        <v>45370</v>
      </c>
      <c r="G82" t="s">
        <v>105</v>
      </c>
      <c r="H82" t="s">
        <v>37</v>
      </c>
      <c r="I82">
        <f>IF(C82="AP",_xlfn.XLOOKUP(D82,Suppliers!A:A,Suppliers!D:D,""),_xlfn.XLOOKUP(D82,Customers!A:A,Customers!D:D,""))</f>
        <v>45</v>
      </c>
      <c r="J82" s="4">
        <f>SUMIF(Payments!C:C,A82,Payments!D:D)</f>
        <v>0</v>
      </c>
      <c r="K82" s="5">
        <f>E82-J82</f>
        <v>3250</v>
      </c>
      <c r="L82">
        <v>0</v>
      </c>
    </row>
    <row r="83" spans="1:12">
      <c r="A83" t="s">
        <v>178</v>
      </c>
      <c r="B83" s="1">
        <v>45326</v>
      </c>
      <c r="C83" t="s">
        <v>95</v>
      </c>
      <c r="D83" t="s">
        <v>69</v>
      </c>
      <c r="E83" s="4">
        <v>2900</v>
      </c>
      <c r="F83" s="1">
        <v>45371</v>
      </c>
      <c r="G83" t="s">
        <v>105</v>
      </c>
      <c r="H83" t="s">
        <v>70</v>
      </c>
      <c r="I83">
        <v>45</v>
      </c>
      <c r="J83" s="4">
        <v>0</v>
      </c>
      <c r="K83" s="5">
        <v>2900</v>
      </c>
      <c r="L83">
        <v>0</v>
      </c>
    </row>
    <row r="84" spans="1:12">
      <c r="A84" t="s">
        <v>179</v>
      </c>
      <c r="B84" s="1">
        <v>45327</v>
      </c>
      <c r="C84" t="s">
        <v>93</v>
      </c>
      <c r="D84" t="s">
        <v>38</v>
      </c>
      <c r="E84" s="4">
        <v>1300</v>
      </c>
      <c r="F84" s="1">
        <v>45357</v>
      </c>
      <c r="G84" t="s">
        <v>107</v>
      </c>
      <c r="H84" t="s">
        <v>39</v>
      </c>
      <c r="I84">
        <v>30</v>
      </c>
      <c r="J84" s="4">
        <v>500</v>
      </c>
      <c r="K84" s="5">
        <v>800</v>
      </c>
      <c r="L84">
        <v>0</v>
      </c>
    </row>
    <row r="85" spans="1:12">
      <c r="A85" t="s">
        <v>180</v>
      </c>
      <c r="B85" s="1">
        <v>45328</v>
      </c>
      <c r="C85" t="s">
        <v>95</v>
      </c>
      <c r="D85" t="s">
        <v>71</v>
      </c>
      <c r="E85" s="4">
        <v>3750</v>
      </c>
      <c r="F85" s="1">
        <v>45358</v>
      </c>
      <c r="G85" t="s">
        <v>111</v>
      </c>
      <c r="H85" t="s">
        <v>72</v>
      </c>
      <c r="I85">
        <v>30</v>
      </c>
      <c r="J85" s="4">
        <v>3750</v>
      </c>
      <c r="K85" s="5">
        <v>0</v>
      </c>
      <c r="L85">
        <v>0</v>
      </c>
    </row>
    <row r="86" spans="1:12">
      <c r="A86" t="s">
        <v>181</v>
      </c>
      <c r="B86" s="1">
        <v>45329</v>
      </c>
      <c r="C86" t="s">
        <v>93</v>
      </c>
      <c r="D86" t="s">
        <v>40</v>
      </c>
      <c r="E86" s="4">
        <v>4950</v>
      </c>
      <c r="F86" s="1">
        <v>45389</v>
      </c>
      <c r="G86" t="s">
        <v>105</v>
      </c>
      <c r="H86" t="s">
        <v>41</v>
      </c>
      <c r="I86">
        <v>60</v>
      </c>
      <c r="J86" s="4">
        <v>0</v>
      </c>
      <c r="K86" s="5">
        <v>4950</v>
      </c>
      <c r="L86">
        <v>0</v>
      </c>
    </row>
    <row r="87" spans="1:12">
      <c r="A87" t="s">
        <v>182</v>
      </c>
      <c r="B87" s="1">
        <v>45330</v>
      </c>
      <c r="C87" t="s">
        <v>93</v>
      </c>
      <c r="D87" t="s">
        <v>42</v>
      </c>
      <c r="E87" s="4">
        <v>1600</v>
      </c>
      <c r="F87" s="1">
        <v>45360</v>
      </c>
      <c r="G87" t="s">
        <v>111</v>
      </c>
      <c r="H87" t="s">
        <v>43</v>
      </c>
      <c r="I87">
        <v>30</v>
      </c>
      <c r="J87" s="4">
        <v>1600</v>
      </c>
      <c r="K87" s="5">
        <v>0</v>
      </c>
      <c r="L87">
        <v>0</v>
      </c>
    </row>
    <row r="88" spans="1:12">
      <c r="A88" t="s">
        <v>183</v>
      </c>
      <c r="B88" s="1">
        <v>45331</v>
      </c>
      <c r="C88" t="s">
        <v>95</v>
      </c>
      <c r="D88" t="s">
        <v>73</v>
      </c>
      <c r="E88" s="4">
        <v>4400</v>
      </c>
      <c r="F88" s="1">
        <v>45376</v>
      </c>
      <c r="G88" t="s">
        <v>107</v>
      </c>
      <c r="H88" t="s">
        <v>74</v>
      </c>
      <c r="I88">
        <v>45</v>
      </c>
      <c r="J88" s="4">
        <v>1800</v>
      </c>
      <c r="K88" s="5">
        <v>2600</v>
      </c>
      <c r="L88">
        <v>0</v>
      </c>
    </row>
    <row r="89" spans="1:12">
      <c r="A89" t="s">
        <v>184</v>
      </c>
      <c r="B89" s="1">
        <v>45332</v>
      </c>
      <c r="C89" t="s">
        <v>93</v>
      </c>
      <c r="D89" t="s">
        <v>44</v>
      </c>
      <c r="E89" s="4">
        <v>850</v>
      </c>
      <c r="F89" s="1">
        <v>45362</v>
      </c>
      <c r="G89" t="s">
        <v>105</v>
      </c>
      <c r="H89" t="s">
        <v>45</v>
      </c>
      <c r="I89">
        <v>30</v>
      </c>
      <c r="J89" s="4">
        <v>0</v>
      </c>
      <c r="K89" s="5">
        <v>850</v>
      </c>
      <c r="L89">
        <v>0</v>
      </c>
    </row>
    <row r="90" spans="1:12">
      <c r="A90" t="s">
        <v>185</v>
      </c>
      <c r="B90" s="1">
        <v>45333</v>
      </c>
      <c r="C90" t="s">
        <v>95</v>
      </c>
      <c r="D90" t="s">
        <v>75</v>
      </c>
      <c r="E90" s="4">
        <v>2200</v>
      </c>
      <c r="F90" s="1">
        <v>45363</v>
      </c>
      <c r="G90" t="s">
        <v>105</v>
      </c>
      <c r="H90" t="s">
        <v>76</v>
      </c>
      <c r="I90">
        <v>30</v>
      </c>
      <c r="J90" s="4">
        <v>0</v>
      </c>
      <c r="K90" s="5">
        <v>2200</v>
      </c>
      <c r="L90">
        <v>0</v>
      </c>
    </row>
    <row r="91" spans="1:12">
      <c r="A91" t="s">
        <v>186</v>
      </c>
      <c r="B91" s="1">
        <v>45334</v>
      </c>
      <c r="C91" t="s">
        <v>95</v>
      </c>
      <c r="D91" t="s">
        <v>77</v>
      </c>
      <c r="E91" s="4">
        <v>5800</v>
      </c>
      <c r="F91" s="1">
        <v>45394</v>
      </c>
      <c r="G91" t="s">
        <v>107</v>
      </c>
      <c r="H91" t="s">
        <v>78</v>
      </c>
      <c r="I91">
        <v>60</v>
      </c>
      <c r="J91" s="4">
        <v>2000</v>
      </c>
      <c r="K91" s="5">
        <v>3800</v>
      </c>
      <c r="L91">
        <v>0</v>
      </c>
    </row>
    <row r="92" spans="1:12">
      <c r="A92" t="s">
        <v>187</v>
      </c>
      <c r="B92" s="1">
        <v>45335</v>
      </c>
      <c r="C92" t="s">
        <v>93</v>
      </c>
      <c r="D92" t="s">
        <v>46</v>
      </c>
      <c r="E92" s="4">
        <v>2450</v>
      </c>
      <c r="F92" s="1">
        <v>45380</v>
      </c>
      <c r="G92" t="s">
        <v>105</v>
      </c>
      <c r="H92" t="s">
        <v>47</v>
      </c>
      <c r="I92">
        <v>45</v>
      </c>
      <c r="J92" s="4">
        <v>0</v>
      </c>
      <c r="K92" s="5">
        <v>2450</v>
      </c>
      <c r="L92">
        <v>0</v>
      </c>
    </row>
    <row r="93" spans="1:12">
      <c r="A93" t="s">
        <v>188</v>
      </c>
      <c r="B93" s="1">
        <v>45336</v>
      </c>
      <c r="C93" t="s">
        <v>95</v>
      </c>
      <c r="D93" t="s">
        <v>51</v>
      </c>
      <c r="E93" s="4">
        <v>3600</v>
      </c>
      <c r="F93" s="1">
        <v>45366</v>
      </c>
      <c r="G93" t="s">
        <v>105</v>
      </c>
      <c r="H93" t="s">
        <v>52</v>
      </c>
      <c r="I93">
        <v>30</v>
      </c>
      <c r="J93" s="4">
        <v>0</v>
      </c>
      <c r="K93" s="5">
        <v>3600</v>
      </c>
      <c r="L93">
        <v>0</v>
      </c>
    </row>
    <row r="94" spans="1:12">
      <c r="A94" t="s">
        <v>189</v>
      </c>
      <c r="B94" s="1">
        <v>45337</v>
      </c>
      <c r="C94" t="s">
        <v>93</v>
      </c>
      <c r="D94" t="s">
        <v>4</v>
      </c>
      <c r="E94" s="4">
        <v>1250</v>
      </c>
      <c r="F94" s="1">
        <v>45367</v>
      </c>
      <c r="G94" t="s">
        <v>111</v>
      </c>
      <c r="H94" t="s">
        <v>5</v>
      </c>
      <c r="I94">
        <v>30</v>
      </c>
      <c r="J94" s="4">
        <v>1250</v>
      </c>
      <c r="K94" s="5">
        <v>0</v>
      </c>
      <c r="L94">
        <v>0</v>
      </c>
    </row>
    <row r="95" spans="1:12">
      <c r="A95" t="s">
        <v>190</v>
      </c>
      <c r="B95" s="1">
        <v>45338</v>
      </c>
      <c r="C95" t="s">
        <v>95</v>
      </c>
      <c r="D95" t="s">
        <v>53</v>
      </c>
      <c r="E95" s="4">
        <v>2950</v>
      </c>
      <c r="F95" s="1">
        <v>45383</v>
      </c>
      <c r="G95" t="s">
        <v>107</v>
      </c>
      <c r="H95" t="s">
        <v>54</v>
      </c>
      <c r="I95">
        <v>45</v>
      </c>
      <c r="J95" s="4">
        <v>1200</v>
      </c>
      <c r="K95" s="5">
        <v>1750</v>
      </c>
      <c r="L95">
        <v>0</v>
      </c>
    </row>
    <row r="96" spans="1:12">
      <c r="A96" t="s">
        <v>191</v>
      </c>
      <c r="B96" s="1">
        <v>45339</v>
      </c>
      <c r="C96" t="s">
        <v>93</v>
      </c>
      <c r="D96" t="s">
        <v>7</v>
      </c>
      <c r="E96" s="4">
        <v>3700</v>
      </c>
      <c r="F96" s="1">
        <v>45384</v>
      </c>
      <c r="G96" t="s">
        <v>105</v>
      </c>
      <c r="H96" t="s">
        <v>8</v>
      </c>
      <c r="I96">
        <v>45</v>
      </c>
      <c r="J96" s="4">
        <v>0</v>
      </c>
      <c r="K96" s="5">
        <v>3700</v>
      </c>
      <c r="L96">
        <v>0</v>
      </c>
    </row>
    <row r="97" spans="1:12">
      <c r="A97" t="s">
        <v>192</v>
      </c>
      <c r="B97" s="1">
        <v>45340</v>
      </c>
      <c r="C97" t="s">
        <v>95</v>
      </c>
      <c r="D97" t="s">
        <v>55</v>
      </c>
      <c r="E97" s="4">
        <v>2400</v>
      </c>
      <c r="F97" s="1">
        <v>45370</v>
      </c>
      <c r="G97" t="s">
        <v>111</v>
      </c>
      <c r="H97" t="s">
        <v>56</v>
      </c>
      <c r="I97">
        <v>30</v>
      </c>
      <c r="J97" s="4">
        <v>2400</v>
      </c>
      <c r="K97" s="5">
        <v>0</v>
      </c>
      <c r="L97">
        <v>0</v>
      </c>
    </row>
    <row r="98" spans="1:12">
      <c r="A98" t="s">
        <v>193</v>
      </c>
      <c r="B98" s="1">
        <v>45341</v>
      </c>
      <c r="C98" t="s">
        <v>93</v>
      </c>
      <c r="D98" t="s">
        <v>10</v>
      </c>
      <c r="E98" s="4">
        <v>1050</v>
      </c>
      <c r="F98" s="1">
        <v>45371</v>
      </c>
      <c r="G98" t="s">
        <v>105</v>
      </c>
      <c r="H98" t="s">
        <v>11</v>
      </c>
      <c r="I98">
        <v>30</v>
      </c>
      <c r="J98" s="4">
        <v>0</v>
      </c>
      <c r="K98" s="5">
        <v>1050</v>
      </c>
      <c r="L98">
        <v>0</v>
      </c>
    </row>
    <row r="99" spans="1:12">
      <c r="A99" t="s">
        <v>194</v>
      </c>
      <c r="B99" s="1">
        <v>45342</v>
      </c>
      <c r="C99" t="s">
        <v>95</v>
      </c>
      <c r="D99" t="s">
        <v>57</v>
      </c>
      <c r="E99" s="4">
        <v>4600</v>
      </c>
      <c r="F99" s="1">
        <v>45402</v>
      </c>
      <c r="G99" t="s">
        <v>105</v>
      </c>
      <c r="H99" t="s">
        <v>58</v>
      </c>
      <c r="I99">
        <v>60</v>
      </c>
      <c r="J99" s="4">
        <v>0</v>
      </c>
      <c r="K99" s="5">
        <v>4600</v>
      </c>
      <c r="L99">
        <v>0</v>
      </c>
    </row>
    <row r="100" spans="1:12">
      <c r="A100" t="s">
        <v>195</v>
      </c>
      <c r="B100" s="1">
        <v>45343</v>
      </c>
      <c r="C100" t="s">
        <v>93</v>
      </c>
      <c r="D100" t="s">
        <v>13</v>
      </c>
      <c r="E100" s="4">
        <v>5200</v>
      </c>
      <c r="F100" s="1">
        <v>45403</v>
      </c>
      <c r="G100" t="s">
        <v>107</v>
      </c>
      <c r="H100" t="s">
        <v>14</v>
      </c>
      <c r="I100">
        <v>60</v>
      </c>
      <c r="J100" s="4">
        <v>2000</v>
      </c>
      <c r="K100" s="5">
        <v>3200</v>
      </c>
      <c r="L100">
        <v>0</v>
      </c>
    </row>
    <row r="101" spans="1:12">
      <c r="A101" t="s">
        <v>196</v>
      </c>
      <c r="B101" s="1">
        <v>45344</v>
      </c>
      <c r="C101" t="s">
        <v>95</v>
      </c>
      <c r="D101" t="s">
        <v>59</v>
      </c>
      <c r="E101" s="4">
        <v>2750</v>
      </c>
      <c r="F101" s="1">
        <v>45374</v>
      </c>
      <c r="G101" t="s">
        <v>111</v>
      </c>
      <c r="H101" t="s">
        <v>60</v>
      </c>
      <c r="I101">
        <v>30</v>
      </c>
      <c r="J101" s="4">
        <v>2750</v>
      </c>
      <c r="K101" s="5">
        <v>0</v>
      </c>
      <c r="L101">
        <v>0</v>
      </c>
    </row>
    <row r="102" spans="1:12">
      <c r="A102" t="s">
        <v>197</v>
      </c>
      <c r="B102" s="1">
        <v>45345</v>
      </c>
      <c r="C102" t="s">
        <v>93</v>
      </c>
      <c r="D102" t="s">
        <v>16</v>
      </c>
      <c r="E102" s="4">
        <v>1800</v>
      </c>
      <c r="F102" s="1">
        <v>45375</v>
      </c>
      <c r="G102" t="s">
        <v>105</v>
      </c>
      <c r="H102" t="s">
        <v>17</v>
      </c>
      <c r="I102">
        <v>30</v>
      </c>
      <c r="J102" s="4">
        <v>0</v>
      </c>
      <c r="K102" s="5">
        <v>1800</v>
      </c>
      <c r="L102">
        <v>0</v>
      </c>
    </row>
    <row r="103" spans="1:12">
      <c r="A103" t="s">
        <v>198</v>
      </c>
      <c r="B103" s="1">
        <v>45346</v>
      </c>
      <c r="C103" t="s">
        <v>95</v>
      </c>
      <c r="D103" t="s">
        <v>61</v>
      </c>
      <c r="E103" s="4">
        <v>3950</v>
      </c>
      <c r="F103" s="1">
        <v>45391</v>
      </c>
      <c r="G103" t="s">
        <v>107</v>
      </c>
      <c r="H103" t="s">
        <v>62</v>
      </c>
      <c r="I103">
        <v>45</v>
      </c>
      <c r="J103" s="4">
        <v>1500</v>
      </c>
      <c r="K103" s="5">
        <v>2450</v>
      </c>
      <c r="L103">
        <v>0</v>
      </c>
    </row>
    <row r="104" spans="1:12">
      <c r="A104" t="s">
        <v>199</v>
      </c>
      <c r="B104" s="1">
        <v>45296</v>
      </c>
      <c r="C104" t="s">
        <v>93</v>
      </c>
      <c r="D104" t="s">
        <v>21</v>
      </c>
      <c r="E104" s="4">
        <v>1600</v>
      </c>
      <c r="F104" s="1">
        <v>45326</v>
      </c>
      <c r="G104" t="s">
        <v>105</v>
      </c>
      <c r="H104" t="s">
        <v>22</v>
      </c>
      <c r="I104">
        <v>30</v>
      </c>
      <c r="J104" s="4">
        <v>0</v>
      </c>
      <c r="K104" s="5">
        <v>1600</v>
      </c>
      <c r="L104">
        <v>20</v>
      </c>
    </row>
    <row r="105" spans="1:12">
      <c r="A105" t="s">
        <v>200</v>
      </c>
      <c r="B105" s="1">
        <v>45297</v>
      </c>
      <c r="C105" t="s">
        <v>95</v>
      </c>
      <c r="D105" t="s">
        <v>63</v>
      </c>
      <c r="E105" s="4">
        <v>2850</v>
      </c>
      <c r="F105" s="1">
        <v>45327</v>
      </c>
      <c r="G105" t="s">
        <v>105</v>
      </c>
      <c r="H105" t="s">
        <v>64</v>
      </c>
      <c r="I105">
        <v>30</v>
      </c>
      <c r="J105" s="4">
        <v>0</v>
      </c>
      <c r="K105" s="5">
        <v>2850</v>
      </c>
      <c r="L105">
        <v>19</v>
      </c>
    </row>
    <row r="106" spans="1:12">
      <c r="A106" t="s">
        <v>201</v>
      </c>
      <c r="B106" s="1">
        <v>45298</v>
      </c>
      <c r="C106" t="s">
        <v>93</v>
      </c>
      <c r="D106" t="s">
        <v>23</v>
      </c>
      <c r="E106" s="4">
        <v>4100</v>
      </c>
      <c r="F106" s="1">
        <v>45358</v>
      </c>
      <c r="G106" t="s">
        <v>111</v>
      </c>
      <c r="H106" t="s">
        <v>24</v>
      </c>
      <c r="I106">
        <v>60</v>
      </c>
      <c r="J106" s="4">
        <v>4100</v>
      </c>
      <c r="K106" s="5">
        <v>0</v>
      </c>
      <c r="L106">
        <v>0</v>
      </c>
    </row>
    <row r="107" spans="1:12">
      <c r="A107" t="s">
        <v>202</v>
      </c>
      <c r="B107" s="1">
        <v>45299</v>
      </c>
      <c r="C107" t="s">
        <v>95</v>
      </c>
      <c r="D107" t="s">
        <v>65</v>
      </c>
      <c r="E107" s="4">
        <v>5300</v>
      </c>
      <c r="F107" s="1">
        <v>45359</v>
      </c>
      <c r="G107" t="s">
        <v>107</v>
      </c>
      <c r="H107" t="s">
        <v>66</v>
      </c>
      <c r="I107">
        <v>60</v>
      </c>
      <c r="J107" s="4">
        <v>2300</v>
      </c>
      <c r="K107" s="5">
        <v>3000</v>
      </c>
      <c r="L107">
        <v>0</v>
      </c>
    </row>
    <row r="108" spans="1:12">
      <c r="A108" t="s">
        <v>203</v>
      </c>
      <c r="B108" s="1">
        <v>45300</v>
      </c>
      <c r="C108" t="s">
        <v>93</v>
      </c>
      <c r="D108" t="s">
        <v>26</v>
      </c>
      <c r="E108" s="4">
        <v>2250</v>
      </c>
      <c r="F108" s="1">
        <v>45330</v>
      </c>
      <c r="G108" t="s">
        <v>107</v>
      </c>
      <c r="H108" t="s">
        <v>27</v>
      </c>
      <c r="I108">
        <v>30</v>
      </c>
      <c r="J108" s="4">
        <v>900</v>
      </c>
      <c r="K108" s="5">
        <v>1350</v>
      </c>
      <c r="L108">
        <v>16</v>
      </c>
    </row>
    <row r="109" spans="1:12">
      <c r="A109" t="s">
        <v>204</v>
      </c>
      <c r="B109" s="1">
        <v>45301</v>
      </c>
      <c r="C109" t="s">
        <v>95</v>
      </c>
      <c r="D109" t="s">
        <v>67</v>
      </c>
      <c r="E109" s="4">
        <v>1950</v>
      </c>
      <c r="F109" s="1">
        <v>45331</v>
      </c>
      <c r="G109" t="s">
        <v>111</v>
      </c>
      <c r="H109" t="s">
        <v>68</v>
      </c>
      <c r="I109">
        <v>30</v>
      </c>
      <c r="J109" s="4">
        <v>1950</v>
      </c>
      <c r="K109" s="5">
        <v>0</v>
      </c>
      <c r="L109">
        <v>0</v>
      </c>
    </row>
    <row r="110" spans="1:12">
      <c r="A110" t="s">
        <v>205</v>
      </c>
      <c r="B110" s="1">
        <v>45302</v>
      </c>
      <c r="C110" t="s">
        <v>93</v>
      </c>
      <c r="D110" t="s">
        <v>28</v>
      </c>
      <c r="E110" s="4">
        <v>2900</v>
      </c>
      <c r="F110" s="1">
        <v>45347</v>
      </c>
      <c r="G110" t="s">
        <v>105</v>
      </c>
      <c r="H110" t="s">
        <v>29</v>
      </c>
      <c r="I110">
        <v>45</v>
      </c>
      <c r="J110" s="4">
        <v>0</v>
      </c>
      <c r="K110" s="5">
        <v>2900</v>
      </c>
      <c r="L110">
        <v>0</v>
      </c>
    </row>
    <row r="111" spans="1:12">
      <c r="A111" t="s">
        <v>206</v>
      </c>
      <c r="B111" s="1">
        <v>45303</v>
      </c>
      <c r="C111" t="s">
        <v>95</v>
      </c>
      <c r="D111" t="s">
        <v>69</v>
      </c>
      <c r="E111" s="4">
        <v>3400</v>
      </c>
      <c r="F111" s="1">
        <v>45348</v>
      </c>
      <c r="G111" t="s">
        <v>105</v>
      </c>
      <c r="H111" t="s">
        <v>70</v>
      </c>
      <c r="I111">
        <v>45</v>
      </c>
      <c r="J111" s="4">
        <v>0</v>
      </c>
      <c r="K111" s="5">
        <v>3400</v>
      </c>
      <c r="L111">
        <v>0</v>
      </c>
    </row>
  </sheetData>
  <conditionalFormatting sqref="G2:G111">
    <cfRule type="containsText" dxfId="18" priority="4" operator="containsText" text="Closed">
      <formula>NOT(ISERROR(SEARCH("Closed",G2)))</formula>
    </cfRule>
  </conditionalFormatting>
  <conditionalFormatting sqref="G2:G111">
    <cfRule type="containsText" dxfId="17" priority="3" operator="containsText" text="Partially Paid">
      <formula>NOT(ISERROR(SEARCH("Partially Paid",G2)))</formula>
    </cfRule>
  </conditionalFormatting>
  <conditionalFormatting sqref="G2:G111">
    <cfRule type="containsText" dxfId="16" priority="2" operator="containsText" text="Open">
      <formula>NOT(ISERROR(SEARCH("Open",G2)))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FA283B0-C7F4-44DA-B1AC-CB3632212CAD}">
            <xm:f>NOT(ISERROR(SEARCH($G$8,G2)))</xm:f>
            <xm:f>$G$8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G2:G111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2D13-ABE7-4C33-A933-A78B90ED03AC}">
  <dimension ref="A1:E61"/>
  <sheetViews>
    <sheetView topLeftCell="A37" workbookViewId="0">
      <selection activeCell="A52" sqref="A52:E52"/>
    </sheetView>
  </sheetViews>
  <sheetFormatPr defaultRowHeight="15"/>
  <cols>
    <col min="1" max="1" width="14.28515625" bestFit="1" customWidth="1"/>
    <col min="2" max="2" width="10" bestFit="1" customWidth="1"/>
    <col min="3" max="3" width="12.85546875" bestFit="1" customWidth="1"/>
    <col min="4" max="4" width="15.7109375" bestFit="1" customWidth="1"/>
    <col min="5" max="5" width="10.5703125" bestFit="1" customWidth="1"/>
  </cols>
  <sheetData>
    <row r="1" spans="1:5">
      <c r="A1" t="s">
        <v>207</v>
      </c>
      <c r="B1" t="s">
        <v>80</v>
      </c>
      <c r="C1" t="s">
        <v>79</v>
      </c>
      <c r="D1" t="s">
        <v>208</v>
      </c>
      <c r="E1" t="s">
        <v>209</v>
      </c>
    </row>
    <row r="2" spans="1:5">
      <c r="A2" t="s">
        <v>210</v>
      </c>
      <c r="B2" s="1">
        <v>45306</v>
      </c>
      <c r="C2" t="s">
        <v>92</v>
      </c>
      <c r="D2" s="4">
        <v>1200</v>
      </c>
      <c r="E2" t="s">
        <v>211</v>
      </c>
    </row>
    <row r="3" spans="1:5">
      <c r="A3" t="s">
        <v>212</v>
      </c>
      <c r="B3" s="1">
        <v>45311</v>
      </c>
      <c r="C3" t="s">
        <v>94</v>
      </c>
      <c r="D3" s="4">
        <v>1000</v>
      </c>
      <c r="E3" t="s">
        <v>211</v>
      </c>
    </row>
    <row r="4" spans="1:5">
      <c r="A4" t="s">
        <v>213</v>
      </c>
      <c r="B4" s="1">
        <v>45316</v>
      </c>
      <c r="C4" t="s">
        <v>96</v>
      </c>
      <c r="D4" s="4">
        <v>800</v>
      </c>
      <c r="E4" t="s">
        <v>211</v>
      </c>
    </row>
    <row r="5" spans="1:5">
      <c r="A5" t="s">
        <v>214</v>
      </c>
      <c r="B5" s="1">
        <v>45319</v>
      </c>
      <c r="C5" t="s">
        <v>97</v>
      </c>
      <c r="D5" s="4">
        <v>3200</v>
      </c>
      <c r="E5" t="s">
        <v>211</v>
      </c>
    </row>
    <row r="6" spans="1:5">
      <c r="A6" t="s">
        <v>215</v>
      </c>
      <c r="B6" s="1">
        <v>45321</v>
      </c>
      <c r="C6" t="s">
        <v>98</v>
      </c>
      <c r="D6" s="4">
        <v>500</v>
      </c>
      <c r="E6" t="s">
        <v>211</v>
      </c>
    </row>
    <row r="7" spans="1:5">
      <c r="A7" t="s">
        <v>216</v>
      </c>
      <c r="B7" s="1">
        <v>45324</v>
      </c>
      <c r="C7" t="s">
        <v>99</v>
      </c>
      <c r="D7" s="4">
        <v>2100</v>
      </c>
      <c r="E7" t="s">
        <v>211</v>
      </c>
    </row>
    <row r="8" spans="1:5">
      <c r="A8" t="s">
        <v>217</v>
      </c>
      <c r="B8" s="1">
        <v>45327</v>
      </c>
      <c r="C8" t="s">
        <v>101</v>
      </c>
      <c r="D8" s="4">
        <v>1800</v>
      </c>
      <c r="E8" t="s">
        <v>211</v>
      </c>
    </row>
    <row r="9" spans="1:5">
      <c r="A9" t="s">
        <v>218</v>
      </c>
      <c r="B9" s="1">
        <v>45330</v>
      </c>
      <c r="C9" t="s">
        <v>102</v>
      </c>
      <c r="D9" s="4">
        <v>1000</v>
      </c>
      <c r="E9" t="s">
        <v>211</v>
      </c>
    </row>
    <row r="10" spans="1:5">
      <c r="A10" t="s">
        <v>219</v>
      </c>
      <c r="B10" s="1">
        <v>45332</v>
      </c>
      <c r="C10" t="s">
        <v>103</v>
      </c>
      <c r="D10" s="4">
        <v>2700</v>
      </c>
      <c r="E10" t="s">
        <v>211</v>
      </c>
    </row>
    <row r="11" spans="1:5">
      <c r="A11" t="s">
        <v>220</v>
      </c>
      <c r="B11" s="1">
        <v>45337</v>
      </c>
      <c r="C11" t="s">
        <v>106</v>
      </c>
      <c r="D11" s="4">
        <v>800</v>
      </c>
      <c r="E11" t="s">
        <v>211</v>
      </c>
    </row>
    <row r="12" spans="1:5">
      <c r="A12" t="s">
        <v>221</v>
      </c>
      <c r="B12" s="1">
        <v>45341</v>
      </c>
      <c r="C12" t="s">
        <v>110</v>
      </c>
      <c r="D12" s="4">
        <v>1300</v>
      </c>
      <c r="E12" t="s">
        <v>211</v>
      </c>
    </row>
    <row r="13" spans="1:5">
      <c r="A13" t="s">
        <v>222</v>
      </c>
      <c r="B13" s="1">
        <v>45342</v>
      </c>
      <c r="C13" t="s">
        <v>112</v>
      </c>
      <c r="D13" s="4">
        <v>1000</v>
      </c>
      <c r="E13" t="s">
        <v>211</v>
      </c>
    </row>
    <row r="14" spans="1:5">
      <c r="A14" t="s">
        <v>223</v>
      </c>
      <c r="B14" s="1">
        <v>45343</v>
      </c>
      <c r="C14" t="s">
        <v>115</v>
      </c>
      <c r="D14" s="4">
        <v>1000</v>
      </c>
      <c r="E14" t="s">
        <v>211</v>
      </c>
    </row>
    <row r="15" spans="1:5">
      <c r="A15" t="s">
        <v>224</v>
      </c>
      <c r="B15" s="1">
        <v>45344</v>
      </c>
      <c r="C15" t="s">
        <v>116</v>
      </c>
      <c r="D15" s="4">
        <v>1650</v>
      </c>
      <c r="E15" t="s">
        <v>211</v>
      </c>
    </row>
    <row r="16" spans="1:5">
      <c r="A16" t="s">
        <v>225</v>
      </c>
      <c r="B16" s="1">
        <v>45345</v>
      </c>
      <c r="C16" t="s">
        <v>119</v>
      </c>
      <c r="D16" s="4">
        <v>4500</v>
      </c>
      <c r="E16" t="s">
        <v>211</v>
      </c>
    </row>
    <row r="17" spans="1:5">
      <c r="A17" t="s">
        <v>226</v>
      </c>
      <c r="B17" s="1">
        <v>45345</v>
      </c>
      <c r="C17" t="s">
        <v>120</v>
      </c>
      <c r="D17" s="4">
        <v>1400</v>
      </c>
      <c r="E17" t="s">
        <v>211</v>
      </c>
    </row>
    <row r="18" spans="1:5">
      <c r="A18" t="s">
        <v>227</v>
      </c>
      <c r="B18" s="1">
        <v>45346</v>
      </c>
      <c r="C18" t="s">
        <v>122</v>
      </c>
      <c r="D18" s="4">
        <v>2300</v>
      </c>
      <c r="E18" t="s">
        <v>211</v>
      </c>
    </row>
    <row r="19" spans="1:5">
      <c r="A19" t="s">
        <v>228</v>
      </c>
      <c r="B19" s="1">
        <v>45346</v>
      </c>
      <c r="C19" t="s">
        <v>124</v>
      </c>
      <c r="D19" s="4">
        <v>1200</v>
      </c>
      <c r="E19" t="s">
        <v>211</v>
      </c>
    </row>
    <row r="20" spans="1:5">
      <c r="A20" t="s">
        <v>229</v>
      </c>
      <c r="B20" s="1">
        <v>45346</v>
      </c>
      <c r="C20" t="s">
        <v>126</v>
      </c>
      <c r="D20" s="4">
        <v>1900</v>
      </c>
      <c r="E20" t="s">
        <v>211</v>
      </c>
    </row>
    <row r="21" spans="1:5">
      <c r="A21" t="s">
        <v>230</v>
      </c>
      <c r="B21" s="1">
        <v>45342</v>
      </c>
      <c r="C21" t="s">
        <v>128</v>
      </c>
      <c r="D21" s="4">
        <v>1100</v>
      </c>
      <c r="E21" t="s">
        <v>211</v>
      </c>
    </row>
    <row r="22" spans="1:5">
      <c r="A22" t="s">
        <v>231</v>
      </c>
      <c r="B22" s="1">
        <v>45342</v>
      </c>
      <c r="C22" t="s">
        <v>130</v>
      </c>
      <c r="D22" s="4">
        <v>950</v>
      </c>
      <c r="E22" t="s">
        <v>211</v>
      </c>
    </row>
    <row r="23" spans="1:5">
      <c r="A23" t="s">
        <v>232</v>
      </c>
      <c r="B23" s="1">
        <v>45343</v>
      </c>
      <c r="C23" t="s">
        <v>131</v>
      </c>
      <c r="D23" s="4">
        <v>1000</v>
      </c>
      <c r="E23" t="s">
        <v>211</v>
      </c>
    </row>
    <row r="24" spans="1:5">
      <c r="A24" t="s">
        <v>233</v>
      </c>
      <c r="B24" s="1">
        <v>45343</v>
      </c>
      <c r="C24" t="s">
        <v>133</v>
      </c>
      <c r="D24" s="4">
        <v>1700</v>
      </c>
      <c r="E24" t="s">
        <v>211</v>
      </c>
    </row>
    <row r="25" spans="1:5">
      <c r="A25" t="s">
        <v>234</v>
      </c>
      <c r="B25" s="1">
        <v>45344</v>
      </c>
      <c r="C25" t="s">
        <v>135</v>
      </c>
      <c r="D25" s="4">
        <v>1500</v>
      </c>
      <c r="E25" t="s">
        <v>211</v>
      </c>
    </row>
    <row r="26" spans="1:5">
      <c r="A26" t="s">
        <v>235</v>
      </c>
      <c r="B26" s="1">
        <v>45344</v>
      </c>
      <c r="C26" t="s">
        <v>138</v>
      </c>
      <c r="D26" s="4">
        <v>3900</v>
      </c>
      <c r="E26" t="s">
        <v>211</v>
      </c>
    </row>
    <row r="27" spans="1:5">
      <c r="A27" t="s">
        <v>236</v>
      </c>
      <c r="B27" s="1">
        <v>45345</v>
      </c>
      <c r="C27" t="s">
        <v>139</v>
      </c>
      <c r="D27" s="4">
        <v>700</v>
      </c>
      <c r="E27" t="s">
        <v>211</v>
      </c>
    </row>
    <row r="28" spans="1:5">
      <c r="A28" t="s">
        <v>237</v>
      </c>
      <c r="B28" s="1">
        <v>45345</v>
      </c>
      <c r="C28" t="s">
        <v>141</v>
      </c>
      <c r="D28" s="4">
        <v>3650</v>
      </c>
      <c r="E28" t="s">
        <v>211</v>
      </c>
    </row>
    <row r="29" spans="1:5">
      <c r="A29" t="s">
        <v>238</v>
      </c>
      <c r="B29" s="1">
        <v>45346</v>
      </c>
      <c r="C29" t="s">
        <v>142</v>
      </c>
      <c r="D29" s="4">
        <v>600</v>
      </c>
      <c r="E29" t="s">
        <v>211</v>
      </c>
    </row>
    <row r="30" spans="1:5">
      <c r="A30" t="s">
        <v>239</v>
      </c>
      <c r="B30" s="1">
        <v>45346</v>
      </c>
      <c r="C30" t="s">
        <v>145</v>
      </c>
      <c r="D30" s="4">
        <v>1350</v>
      </c>
      <c r="E30" t="s">
        <v>211</v>
      </c>
    </row>
    <row r="31" spans="1:5">
      <c r="A31" t="s">
        <v>240</v>
      </c>
      <c r="B31" s="1">
        <v>45346</v>
      </c>
      <c r="C31" t="s">
        <v>146</v>
      </c>
      <c r="D31" s="4">
        <v>2000</v>
      </c>
      <c r="E31" t="s">
        <v>211</v>
      </c>
    </row>
    <row r="32" spans="1:5">
      <c r="A32" t="s">
        <v>241</v>
      </c>
      <c r="B32" s="1">
        <v>45337</v>
      </c>
      <c r="C32" t="s">
        <v>148</v>
      </c>
      <c r="D32" s="4">
        <v>1250</v>
      </c>
      <c r="E32" t="s">
        <v>211</v>
      </c>
    </row>
    <row r="33" spans="1:5">
      <c r="A33" t="s">
        <v>242</v>
      </c>
      <c r="B33" s="1">
        <v>45338</v>
      </c>
      <c r="C33" t="s">
        <v>149</v>
      </c>
      <c r="D33" s="4">
        <v>1200</v>
      </c>
      <c r="E33" t="s">
        <v>211</v>
      </c>
    </row>
    <row r="34" spans="1:5">
      <c r="A34" t="s">
        <v>243</v>
      </c>
      <c r="B34" s="1">
        <v>45339</v>
      </c>
      <c r="C34" t="s">
        <v>152</v>
      </c>
      <c r="D34" s="4">
        <v>700</v>
      </c>
      <c r="E34" t="s">
        <v>211</v>
      </c>
    </row>
    <row r="35" spans="1:5">
      <c r="A35" t="s">
        <v>244</v>
      </c>
      <c r="B35" s="1">
        <v>45341</v>
      </c>
      <c r="C35" t="s">
        <v>153</v>
      </c>
      <c r="D35" s="4">
        <v>4600</v>
      </c>
      <c r="E35" t="s">
        <v>211</v>
      </c>
    </row>
    <row r="36" spans="1:5">
      <c r="A36" t="s">
        <v>245</v>
      </c>
      <c r="B36" s="1">
        <v>45342</v>
      </c>
      <c r="C36" t="s">
        <v>156</v>
      </c>
      <c r="D36" s="4">
        <v>900</v>
      </c>
      <c r="E36" t="s">
        <v>211</v>
      </c>
    </row>
    <row r="37" spans="1:5">
      <c r="A37" t="s">
        <v>246</v>
      </c>
      <c r="B37" s="1">
        <v>45342</v>
      </c>
      <c r="C37" t="s">
        <v>157</v>
      </c>
      <c r="D37" s="4">
        <v>1350</v>
      </c>
      <c r="E37" t="s">
        <v>211</v>
      </c>
    </row>
    <row r="38" spans="1:5">
      <c r="A38" t="s">
        <v>247</v>
      </c>
      <c r="B38" s="1">
        <v>45343</v>
      </c>
      <c r="C38" t="s">
        <v>159</v>
      </c>
      <c r="D38" s="4">
        <v>1000</v>
      </c>
      <c r="E38" t="s">
        <v>211</v>
      </c>
    </row>
    <row r="39" spans="1:5">
      <c r="A39" t="s">
        <v>248</v>
      </c>
      <c r="B39" s="1">
        <v>45344</v>
      </c>
      <c r="C39" t="s">
        <v>161</v>
      </c>
      <c r="D39" s="4">
        <v>3750</v>
      </c>
      <c r="E39" t="s">
        <v>211</v>
      </c>
    </row>
    <row r="40" spans="1:5">
      <c r="A40" t="s">
        <v>249</v>
      </c>
      <c r="B40" s="1">
        <v>45345</v>
      </c>
      <c r="C40" t="s">
        <v>163</v>
      </c>
      <c r="D40" s="4">
        <v>1100</v>
      </c>
      <c r="E40" t="s">
        <v>211</v>
      </c>
    </row>
    <row r="41" spans="1:5">
      <c r="A41" t="s">
        <v>250</v>
      </c>
      <c r="B41" s="1">
        <v>45346</v>
      </c>
      <c r="C41" t="s">
        <v>165</v>
      </c>
      <c r="D41" s="4">
        <v>3500</v>
      </c>
      <c r="E41" t="s">
        <v>211</v>
      </c>
    </row>
    <row r="42" spans="1:5">
      <c r="A42" t="s">
        <v>251</v>
      </c>
      <c r="B42" s="1">
        <v>45342</v>
      </c>
      <c r="C42" t="s">
        <v>169</v>
      </c>
      <c r="D42" s="4">
        <v>3600</v>
      </c>
      <c r="E42" t="s">
        <v>211</v>
      </c>
    </row>
    <row r="43" spans="1:5">
      <c r="A43" t="s">
        <v>252</v>
      </c>
      <c r="B43" s="1">
        <v>45342</v>
      </c>
      <c r="C43" t="s">
        <v>171</v>
      </c>
      <c r="D43" s="4">
        <v>750</v>
      </c>
      <c r="E43" t="s">
        <v>211</v>
      </c>
    </row>
    <row r="44" spans="1:5">
      <c r="A44" t="s">
        <v>253</v>
      </c>
      <c r="B44" s="1">
        <v>45343</v>
      </c>
      <c r="C44" t="s">
        <v>173</v>
      </c>
      <c r="D44" s="4">
        <v>3300</v>
      </c>
      <c r="E44" t="s">
        <v>211</v>
      </c>
    </row>
    <row r="45" spans="1:5">
      <c r="A45" t="s">
        <v>254</v>
      </c>
      <c r="B45" s="1">
        <v>45343</v>
      </c>
      <c r="C45" t="s">
        <v>175</v>
      </c>
      <c r="D45" s="4">
        <v>1000</v>
      </c>
      <c r="E45" t="s">
        <v>211</v>
      </c>
    </row>
    <row r="46" spans="1:5">
      <c r="A46" t="s">
        <v>255</v>
      </c>
      <c r="B46" s="1">
        <v>45344</v>
      </c>
      <c r="C46" t="s">
        <v>176</v>
      </c>
      <c r="D46" s="4">
        <v>1500</v>
      </c>
      <c r="E46" t="s">
        <v>211</v>
      </c>
    </row>
    <row r="47" spans="1:5">
      <c r="A47" t="s">
        <v>256</v>
      </c>
      <c r="B47" s="1">
        <v>45344</v>
      </c>
      <c r="C47" t="s">
        <v>179</v>
      </c>
      <c r="D47" s="4">
        <v>500</v>
      </c>
      <c r="E47" t="s">
        <v>211</v>
      </c>
    </row>
    <row r="48" spans="1:5">
      <c r="A48" t="s">
        <v>257</v>
      </c>
      <c r="B48" s="1">
        <v>45345</v>
      </c>
      <c r="C48" t="s">
        <v>180</v>
      </c>
      <c r="D48" s="4">
        <v>3750</v>
      </c>
      <c r="E48" t="s">
        <v>211</v>
      </c>
    </row>
    <row r="49" spans="1:5">
      <c r="A49" t="s">
        <v>258</v>
      </c>
      <c r="B49" s="1">
        <v>45345</v>
      </c>
      <c r="C49" t="s">
        <v>182</v>
      </c>
      <c r="D49" s="4">
        <v>1600</v>
      </c>
      <c r="E49" t="s">
        <v>211</v>
      </c>
    </row>
    <row r="50" spans="1:5">
      <c r="A50" t="s">
        <v>259</v>
      </c>
      <c r="B50" s="1">
        <v>45346</v>
      </c>
      <c r="C50" t="s">
        <v>183</v>
      </c>
      <c r="D50" s="4">
        <v>1800</v>
      </c>
      <c r="E50" t="s">
        <v>211</v>
      </c>
    </row>
    <row r="51" spans="1:5">
      <c r="A51" t="s">
        <v>260</v>
      </c>
      <c r="B51" s="1">
        <v>45346</v>
      </c>
      <c r="C51" t="s">
        <v>186</v>
      </c>
      <c r="D51" s="4">
        <v>2000</v>
      </c>
      <c r="E51" t="s">
        <v>211</v>
      </c>
    </row>
    <row r="52" spans="1:5">
      <c r="A52" t="s">
        <v>261</v>
      </c>
      <c r="B52" s="1">
        <v>45344</v>
      </c>
      <c r="C52" t="s">
        <v>189</v>
      </c>
      <c r="D52" s="4">
        <v>1250</v>
      </c>
      <c r="E52" t="s">
        <v>211</v>
      </c>
    </row>
    <row r="53" spans="1:5">
      <c r="A53" t="s">
        <v>262</v>
      </c>
      <c r="B53" s="1">
        <v>45344</v>
      </c>
      <c r="C53" t="s">
        <v>190</v>
      </c>
      <c r="D53" s="4">
        <v>1200</v>
      </c>
      <c r="E53" t="s">
        <v>211</v>
      </c>
    </row>
    <row r="54" spans="1:5">
      <c r="A54" t="s">
        <v>263</v>
      </c>
      <c r="B54" s="1">
        <v>45344</v>
      </c>
      <c r="C54" t="s">
        <v>192</v>
      </c>
      <c r="D54" s="4">
        <v>2400</v>
      </c>
      <c r="E54" t="s">
        <v>211</v>
      </c>
    </row>
    <row r="55" spans="1:5">
      <c r="A55" t="s">
        <v>264</v>
      </c>
      <c r="B55" s="1">
        <v>45345</v>
      </c>
      <c r="C55" t="s">
        <v>195</v>
      </c>
      <c r="D55" s="4">
        <v>2000</v>
      </c>
      <c r="E55" t="s">
        <v>211</v>
      </c>
    </row>
    <row r="56" spans="1:5">
      <c r="A56" t="s">
        <v>265</v>
      </c>
      <c r="B56" s="1">
        <v>45345</v>
      </c>
      <c r="C56" t="s">
        <v>196</v>
      </c>
      <c r="D56" s="4">
        <v>2750</v>
      </c>
      <c r="E56" t="s">
        <v>211</v>
      </c>
    </row>
    <row r="57" spans="1:5">
      <c r="A57" t="s">
        <v>266</v>
      </c>
      <c r="B57" s="1">
        <v>45346</v>
      </c>
      <c r="C57" t="s">
        <v>198</v>
      </c>
      <c r="D57" s="4">
        <v>1500</v>
      </c>
      <c r="E57" t="s">
        <v>211</v>
      </c>
    </row>
    <row r="58" spans="1:5">
      <c r="A58" t="s">
        <v>267</v>
      </c>
      <c r="B58" s="1">
        <v>45346</v>
      </c>
      <c r="C58" t="s">
        <v>201</v>
      </c>
      <c r="D58" s="4">
        <v>4100</v>
      </c>
      <c r="E58" t="s">
        <v>211</v>
      </c>
    </row>
    <row r="59" spans="1:5">
      <c r="A59" t="s">
        <v>268</v>
      </c>
      <c r="B59" s="1">
        <v>45346</v>
      </c>
      <c r="C59" t="s">
        <v>202</v>
      </c>
      <c r="D59" s="4">
        <v>2300</v>
      </c>
      <c r="E59" t="s">
        <v>211</v>
      </c>
    </row>
    <row r="60" spans="1:5">
      <c r="A60" t="s">
        <v>269</v>
      </c>
      <c r="B60" s="1">
        <v>45346</v>
      </c>
      <c r="C60" t="s">
        <v>203</v>
      </c>
      <c r="D60" s="4">
        <v>900</v>
      </c>
      <c r="E60" t="s">
        <v>211</v>
      </c>
    </row>
    <row r="61" spans="1:5">
      <c r="A61" t="s">
        <v>270</v>
      </c>
      <c r="B61" s="1">
        <v>45346</v>
      </c>
      <c r="C61" t="s">
        <v>204</v>
      </c>
      <c r="D61" s="4">
        <v>1950</v>
      </c>
      <c r="E61" t="s">
        <v>211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7036-0D16-4DFB-B8C8-CDFA1C0658A8}">
  <dimension ref="A1:F62"/>
  <sheetViews>
    <sheetView workbookViewId="0">
      <selection activeCell="C55" sqref="C55"/>
    </sheetView>
  </sheetViews>
  <sheetFormatPr defaultRowHeight="15"/>
  <cols>
    <col min="1" max="1" width="10" bestFit="1" customWidth="1"/>
    <col min="2" max="2" width="37.5703125" customWidth="1"/>
    <col min="4" max="5" width="9.7109375" bestFit="1" customWidth="1"/>
    <col min="6" max="6" width="10.85546875" bestFit="1" customWidth="1"/>
  </cols>
  <sheetData>
    <row r="1" spans="1:6">
      <c r="A1" s="2" t="s">
        <v>80</v>
      </c>
      <c r="B1" s="2" t="s">
        <v>271</v>
      </c>
      <c r="C1" s="2" t="s">
        <v>81</v>
      </c>
      <c r="D1" s="2" t="s">
        <v>272</v>
      </c>
      <c r="E1" s="2" t="s">
        <v>273</v>
      </c>
      <c r="F1" s="2" t="s">
        <v>89</v>
      </c>
    </row>
    <row r="2" spans="1:6">
      <c r="A2" s="1">
        <v>45292</v>
      </c>
      <c r="B2" t="s">
        <v>274</v>
      </c>
      <c r="C2" t="s">
        <v>275</v>
      </c>
      <c r="D2" s="4">
        <v>5000</v>
      </c>
      <c r="E2" s="5">
        <v>0</v>
      </c>
      <c r="F2" s="4">
        <f>D2-E2</f>
        <v>5000</v>
      </c>
    </row>
    <row r="3" spans="1:6">
      <c r="A3" s="1">
        <v>45306</v>
      </c>
      <c r="B3" t="s">
        <v>276</v>
      </c>
      <c r="C3" t="s">
        <v>277</v>
      </c>
      <c r="D3" s="4">
        <v>0</v>
      </c>
      <c r="E3" s="5">
        <v>1200</v>
      </c>
      <c r="F3" s="12">
        <f>F2+D3-E3</f>
        <v>3800</v>
      </c>
    </row>
    <row r="4" spans="1:6">
      <c r="A4" s="1">
        <v>45311</v>
      </c>
      <c r="B4" t="s">
        <v>278</v>
      </c>
      <c r="C4" t="s">
        <v>279</v>
      </c>
      <c r="D4" s="4">
        <v>1000</v>
      </c>
      <c r="E4" s="5">
        <v>0</v>
      </c>
      <c r="F4" s="12">
        <f t="shared" ref="F4:F62" si="0">F3+D4-E4</f>
        <v>4800</v>
      </c>
    </row>
    <row r="5" spans="1:6">
      <c r="A5" s="1">
        <v>45316</v>
      </c>
      <c r="B5" t="s">
        <v>280</v>
      </c>
      <c r="C5" t="s">
        <v>277</v>
      </c>
      <c r="D5" s="5">
        <v>0</v>
      </c>
      <c r="E5" s="4">
        <v>800</v>
      </c>
      <c r="F5" s="12">
        <f t="shared" si="0"/>
        <v>4000</v>
      </c>
    </row>
    <row r="6" spans="1:6">
      <c r="A6" s="1">
        <v>45319</v>
      </c>
      <c r="B6" t="s">
        <v>281</v>
      </c>
      <c r="C6" t="s">
        <v>279</v>
      </c>
      <c r="D6" s="4">
        <v>3200</v>
      </c>
      <c r="E6" s="5">
        <v>0</v>
      </c>
      <c r="F6" s="12">
        <f t="shared" si="0"/>
        <v>7200</v>
      </c>
    </row>
    <row r="7" spans="1:6">
      <c r="A7" s="1">
        <v>45321</v>
      </c>
      <c r="B7" t="s">
        <v>282</v>
      </c>
      <c r="C7" t="s">
        <v>277</v>
      </c>
      <c r="D7" s="5">
        <v>0</v>
      </c>
      <c r="E7" s="4">
        <v>500</v>
      </c>
      <c r="F7" s="12">
        <f t="shared" si="0"/>
        <v>6700</v>
      </c>
    </row>
    <row r="8" spans="1:6">
      <c r="A8" s="1">
        <v>45324</v>
      </c>
      <c r="B8" t="s">
        <v>283</v>
      </c>
      <c r="C8" t="s">
        <v>279</v>
      </c>
      <c r="D8" s="4">
        <v>2100</v>
      </c>
      <c r="E8" s="5">
        <v>0</v>
      </c>
      <c r="F8" s="12">
        <f t="shared" si="0"/>
        <v>8800</v>
      </c>
    </row>
    <row r="9" spans="1:6">
      <c r="A9" s="1">
        <v>45327</v>
      </c>
      <c r="B9" t="s">
        <v>284</v>
      </c>
      <c r="C9" t="s">
        <v>279</v>
      </c>
      <c r="D9" s="4">
        <v>1800</v>
      </c>
      <c r="E9" s="5">
        <v>0</v>
      </c>
      <c r="F9" s="12">
        <f t="shared" si="0"/>
        <v>10600</v>
      </c>
    </row>
    <row r="10" spans="1:6">
      <c r="A10" s="1">
        <v>45330</v>
      </c>
      <c r="B10" t="s">
        <v>285</v>
      </c>
      <c r="C10" t="s">
        <v>277</v>
      </c>
      <c r="D10" s="5">
        <v>0</v>
      </c>
      <c r="E10" s="4">
        <v>1000</v>
      </c>
      <c r="F10" s="12">
        <f t="shared" si="0"/>
        <v>9600</v>
      </c>
    </row>
    <row r="11" spans="1:6">
      <c r="A11" s="1">
        <v>45332</v>
      </c>
      <c r="B11" t="s">
        <v>286</v>
      </c>
      <c r="C11" t="s">
        <v>279</v>
      </c>
      <c r="D11" s="4">
        <v>2700</v>
      </c>
      <c r="E11" s="5">
        <v>0</v>
      </c>
      <c r="F11" s="12">
        <f t="shared" si="0"/>
        <v>12300</v>
      </c>
    </row>
    <row r="12" spans="1:6">
      <c r="A12" s="1">
        <v>45337</v>
      </c>
      <c r="B12" t="s">
        <v>287</v>
      </c>
      <c r="C12" t="s">
        <v>279</v>
      </c>
      <c r="D12">
        <v>800</v>
      </c>
      <c r="E12">
        <v>0</v>
      </c>
      <c r="F12" s="12">
        <f t="shared" si="0"/>
        <v>13100</v>
      </c>
    </row>
    <row r="13" spans="1:6">
      <c r="A13" s="1">
        <v>45341</v>
      </c>
      <c r="B13" t="s">
        <v>288</v>
      </c>
      <c r="C13" t="s">
        <v>277</v>
      </c>
      <c r="D13">
        <v>0</v>
      </c>
      <c r="E13" s="12">
        <v>1300</v>
      </c>
      <c r="F13" s="12">
        <f t="shared" si="0"/>
        <v>11800</v>
      </c>
    </row>
    <row r="14" spans="1:6">
      <c r="A14" s="1">
        <v>45342</v>
      </c>
      <c r="B14" t="s">
        <v>289</v>
      </c>
      <c r="C14" t="s">
        <v>279</v>
      </c>
      <c r="D14" s="12">
        <v>1000</v>
      </c>
      <c r="E14">
        <v>0</v>
      </c>
      <c r="F14" s="12">
        <f t="shared" si="0"/>
        <v>12800</v>
      </c>
    </row>
    <row r="15" spans="1:6">
      <c r="A15" s="1">
        <v>45343</v>
      </c>
      <c r="B15" t="s">
        <v>290</v>
      </c>
      <c r="C15" t="s">
        <v>277</v>
      </c>
      <c r="D15">
        <v>0</v>
      </c>
      <c r="E15" s="12">
        <v>1000</v>
      </c>
      <c r="F15" s="12">
        <f t="shared" si="0"/>
        <v>11800</v>
      </c>
    </row>
    <row r="16" spans="1:6">
      <c r="A16" s="1">
        <v>45344</v>
      </c>
      <c r="B16" t="s">
        <v>291</v>
      </c>
      <c r="C16" t="s">
        <v>279</v>
      </c>
      <c r="D16" s="12">
        <v>1650</v>
      </c>
      <c r="E16">
        <v>0</v>
      </c>
      <c r="F16" s="12">
        <f t="shared" si="0"/>
        <v>13450</v>
      </c>
    </row>
    <row r="17" spans="1:6">
      <c r="A17" s="1">
        <v>45345</v>
      </c>
      <c r="B17" t="s">
        <v>292</v>
      </c>
      <c r="C17" t="s">
        <v>277</v>
      </c>
      <c r="D17">
        <v>0</v>
      </c>
      <c r="E17" s="12">
        <v>4500</v>
      </c>
      <c r="F17" s="12">
        <f t="shared" si="0"/>
        <v>8950</v>
      </c>
    </row>
    <row r="18" spans="1:6">
      <c r="A18" s="1">
        <v>45345</v>
      </c>
      <c r="B18" t="s">
        <v>293</v>
      </c>
      <c r="C18" t="s">
        <v>279</v>
      </c>
      <c r="D18" s="12">
        <v>1400</v>
      </c>
      <c r="E18">
        <v>0</v>
      </c>
      <c r="F18" s="12">
        <f t="shared" si="0"/>
        <v>10350</v>
      </c>
    </row>
    <row r="19" spans="1:6">
      <c r="A19" s="1">
        <v>45346</v>
      </c>
      <c r="B19" t="s">
        <v>294</v>
      </c>
      <c r="C19" t="s">
        <v>279</v>
      </c>
      <c r="D19" s="12">
        <v>2300</v>
      </c>
      <c r="E19">
        <v>0</v>
      </c>
      <c r="F19" s="12">
        <f t="shared" si="0"/>
        <v>12650</v>
      </c>
    </row>
    <row r="20" spans="1:6">
      <c r="A20" s="1">
        <v>45346</v>
      </c>
      <c r="B20" t="s">
        <v>295</v>
      </c>
      <c r="C20" t="s">
        <v>279</v>
      </c>
      <c r="D20" s="12">
        <v>1200</v>
      </c>
      <c r="E20">
        <v>0</v>
      </c>
      <c r="F20" s="12">
        <f t="shared" si="0"/>
        <v>13850</v>
      </c>
    </row>
    <row r="21" spans="1:6">
      <c r="A21" s="1">
        <v>45346</v>
      </c>
      <c r="B21" t="s">
        <v>296</v>
      </c>
      <c r="C21" t="s">
        <v>279</v>
      </c>
      <c r="D21" s="12">
        <v>1900</v>
      </c>
      <c r="E21">
        <v>0</v>
      </c>
      <c r="F21" s="12">
        <f t="shared" si="0"/>
        <v>15750</v>
      </c>
    </row>
    <row r="22" spans="1:6">
      <c r="A22" s="1">
        <v>45342</v>
      </c>
      <c r="B22" t="s">
        <v>297</v>
      </c>
      <c r="C22" t="s">
        <v>277</v>
      </c>
      <c r="D22">
        <v>0</v>
      </c>
      <c r="E22" s="12">
        <v>1100</v>
      </c>
      <c r="F22" s="12">
        <f t="shared" si="0"/>
        <v>14650</v>
      </c>
    </row>
    <row r="23" spans="1:6">
      <c r="A23" s="1">
        <v>45342</v>
      </c>
      <c r="B23" t="s">
        <v>298</v>
      </c>
      <c r="C23" t="s">
        <v>277</v>
      </c>
      <c r="D23">
        <v>0</v>
      </c>
      <c r="E23">
        <v>950</v>
      </c>
      <c r="F23" s="12">
        <f t="shared" si="0"/>
        <v>13700</v>
      </c>
    </row>
    <row r="24" spans="1:6">
      <c r="A24" s="1">
        <v>45343</v>
      </c>
      <c r="B24" t="s">
        <v>299</v>
      </c>
      <c r="C24" t="s">
        <v>279</v>
      </c>
      <c r="D24" s="12">
        <v>1000</v>
      </c>
      <c r="E24">
        <v>0</v>
      </c>
      <c r="F24" s="12">
        <f t="shared" si="0"/>
        <v>14700</v>
      </c>
    </row>
    <row r="25" spans="1:6">
      <c r="A25" s="1">
        <v>45343</v>
      </c>
      <c r="B25" t="s">
        <v>300</v>
      </c>
      <c r="C25" t="s">
        <v>277</v>
      </c>
      <c r="D25">
        <v>0</v>
      </c>
      <c r="E25" s="12">
        <v>1700</v>
      </c>
      <c r="F25" s="12">
        <f t="shared" si="0"/>
        <v>13000</v>
      </c>
    </row>
    <row r="26" spans="1:6">
      <c r="A26" s="1">
        <v>45344</v>
      </c>
      <c r="B26" t="s">
        <v>301</v>
      </c>
      <c r="C26" t="s">
        <v>277</v>
      </c>
      <c r="D26">
        <v>0</v>
      </c>
      <c r="E26" s="12">
        <v>1500</v>
      </c>
      <c r="F26" s="12">
        <f t="shared" si="0"/>
        <v>11500</v>
      </c>
    </row>
    <row r="27" spans="1:6">
      <c r="A27" s="1">
        <v>45344</v>
      </c>
      <c r="B27" t="s">
        <v>302</v>
      </c>
      <c r="C27" t="s">
        <v>277</v>
      </c>
      <c r="D27">
        <v>0</v>
      </c>
      <c r="E27" s="12">
        <v>3900</v>
      </c>
      <c r="F27" s="12">
        <f t="shared" si="0"/>
        <v>7600</v>
      </c>
    </row>
    <row r="28" spans="1:6">
      <c r="A28" s="1">
        <v>45345</v>
      </c>
      <c r="B28" t="s">
        <v>303</v>
      </c>
      <c r="C28" t="s">
        <v>279</v>
      </c>
      <c r="D28">
        <v>700</v>
      </c>
      <c r="E28">
        <v>0</v>
      </c>
      <c r="F28" s="12">
        <f t="shared" si="0"/>
        <v>8300</v>
      </c>
    </row>
    <row r="29" spans="1:6">
      <c r="A29" s="1">
        <v>45345</v>
      </c>
      <c r="B29" t="s">
        <v>304</v>
      </c>
      <c r="C29" t="s">
        <v>279</v>
      </c>
      <c r="D29" s="12">
        <v>3650</v>
      </c>
      <c r="E29">
        <v>0</v>
      </c>
      <c r="F29" s="12">
        <f t="shared" si="0"/>
        <v>11950</v>
      </c>
    </row>
    <row r="30" spans="1:6">
      <c r="A30" s="1">
        <v>45346</v>
      </c>
      <c r="B30" t="s">
        <v>305</v>
      </c>
      <c r="C30" t="s">
        <v>277</v>
      </c>
      <c r="D30">
        <v>0</v>
      </c>
      <c r="E30">
        <v>600</v>
      </c>
      <c r="F30" s="12">
        <f t="shared" si="0"/>
        <v>11350</v>
      </c>
    </row>
    <row r="31" spans="1:6">
      <c r="A31" s="1">
        <v>45346</v>
      </c>
      <c r="B31" t="s">
        <v>306</v>
      </c>
      <c r="C31" t="s">
        <v>277</v>
      </c>
      <c r="D31">
        <v>0</v>
      </c>
      <c r="E31" s="12">
        <v>1350</v>
      </c>
      <c r="F31" s="12">
        <f t="shared" si="0"/>
        <v>10000</v>
      </c>
    </row>
    <row r="32" spans="1:6">
      <c r="A32" s="1">
        <v>45346</v>
      </c>
      <c r="B32" t="s">
        <v>307</v>
      </c>
      <c r="C32" t="s">
        <v>279</v>
      </c>
      <c r="D32" s="12">
        <v>2000</v>
      </c>
      <c r="E32">
        <v>0</v>
      </c>
      <c r="F32" s="12">
        <f t="shared" si="0"/>
        <v>12000</v>
      </c>
    </row>
    <row r="33" spans="1:6">
      <c r="A33" s="1">
        <v>45337</v>
      </c>
      <c r="B33" t="s">
        <v>308</v>
      </c>
      <c r="C33" t="s">
        <v>279</v>
      </c>
      <c r="D33" s="12">
        <v>1250</v>
      </c>
      <c r="E33">
        <v>0</v>
      </c>
      <c r="F33" s="12">
        <f t="shared" si="0"/>
        <v>13250</v>
      </c>
    </row>
    <row r="34" spans="1:6">
      <c r="A34" s="1">
        <v>45338</v>
      </c>
      <c r="B34" t="s">
        <v>309</v>
      </c>
      <c r="C34" t="s">
        <v>277</v>
      </c>
      <c r="D34">
        <v>0</v>
      </c>
      <c r="E34" s="12">
        <v>1200</v>
      </c>
      <c r="F34" s="12">
        <f t="shared" si="0"/>
        <v>12050</v>
      </c>
    </row>
    <row r="35" spans="1:6">
      <c r="A35" s="1">
        <v>45339</v>
      </c>
      <c r="B35" t="s">
        <v>310</v>
      </c>
      <c r="C35" t="s">
        <v>277</v>
      </c>
      <c r="D35">
        <v>0</v>
      </c>
      <c r="E35">
        <v>700</v>
      </c>
      <c r="F35" s="12">
        <f t="shared" si="0"/>
        <v>11350</v>
      </c>
    </row>
    <row r="36" spans="1:6">
      <c r="A36" s="1">
        <v>45341</v>
      </c>
      <c r="B36" t="s">
        <v>311</v>
      </c>
      <c r="C36" t="s">
        <v>279</v>
      </c>
      <c r="D36" s="12">
        <v>4600</v>
      </c>
      <c r="E36">
        <v>0</v>
      </c>
      <c r="F36" s="12">
        <f t="shared" si="0"/>
        <v>15950</v>
      </c>
    </row>
    <row r="37" spans="1:6">
      <c r="A37" s="1">
        <v>45342</v>
      </c>
      <c r="B37" t="s">
        <v>312</v>
      </c>
      <c r="C37" t="s">
        <v>279</v>
      </c>
      <c r="D37">
        <v>900</v>
      </c>
      <c r="E37">
        <v>0</v>
      </c>
      <c r="F37" s="12">
        <f t="shared" si="0"/>
        <v>16850</v>
      </c>
    </row>
    <row r="38" spans="1:6">
      <c r="A38" s="1">
        <v>45342</v>
      </c>
      <c r="B38" t="s">
        <v>313</v>
      </c>
      <c r="C38" t="s">
        <v>277</v>
      </c>
      <c r="D38">
        <v>0</v>
      </c>
      <c r="E38" s="12">
        <v>1350</v>
      </c>
      <c r="F38" s="12">
        <f t="shared" si="0"/>
        <v>15500</v>
      </c>
    </row>
    <row r="39" spans="1:6">
      <c r="A39" s="1">
        <v>45343</v>
      </c>
      <c r="B39" t="s">
        <v>314</v>
      </c>
      <c r="C39" t="s">
        <v>277</v>
      </c>
      <c r="D39">
        <v>0</v>
      </c>
      <c r="E39" s="12">
        <v>1000</v>
      </c>
      <c r="F39" s="12">
        <f t="shared" si="0"/>
        <v>14500</v>
      </c>
    </row>
    <row r="40" spans="1:6">
      <c r="A40" s="1">
        <v>45344</v>
      </c>
      <c r="B40" t="s">
        <v>315</v>
      </c>
      <c r="C40" t="s">
        <v>279</v>
      </c>
      <c r="D40" s="12">
        <v>3750</v>
      </c>
      <c r="E40">
        <v>0</v>
      </c>
      <c r="F40" s="12">
        <f t="shared" si="0"/>
        <v>18250</v>
      </c>
    </row>
    <row r="41" spans="1:6">
      <c r="A41" s="1">
        <v>45345</v>
      </c>
      <c r="B41" t="s">
        <v>316</v>
      </c>
      <c r="C41" t="s">
        <v>279</v>
      </c>
      <c r="D41" s="12">
        <v>1100</v>
      </c>
      <c r="E41">
        <v>0</v>
      </c>
      <c r="F41" s="12">
        <f t="shared" si="0"/>
        <v>19350</v>
      </c>
    </row>
    <row r="42" spans="1:6">
      <c r="A42" s="1">
        <v>45346</v>
      </c>
      <c r="B42" t="s">
        <v>317</v>
      </c>
      <c r="C42" t="s">
        <v>277</v>
      </c>
      <c r="D42">
        <v>0</v>
      </c>
      <c r="E42" s="12">
        <v>3500</v>
      </c>
      <c r="F42" s="12">
        <f t="shared" si="0"/>
        <v>15850</v>
      </c>
    </row>
    <row r="43" spans="1:6">
      <c r="A43" s="1">
        <v>45342</v>
      </c>
      <c r="B43" t="s">
        <v>318</v>
      </c>
      <c r="C43" t="s">
        <v>277</v>
      </c>
      <c r="D43">
        <v>0</v>
      </c>
      <c r="E43" s="12">
        <v>3600</v>
      </c>
      <c r="F43" s="12">
        <f t="shared" si="0"/>
        <v>12250</v>
      </c>
    </row>
    <row r="44" spans="1:6">
      <c r="A44" s="1">
        <v>45342</v>
      </c>
      <c r="B44" t="s">
        <v>319</v>
      </c>
      <c r="C44" t="s">
        <v>277</v>
      </c>
      <c r="D44">
        <v>0</v>
      </c>
      <c r="E44">
        <v>750</v>
      </c>
      <c r="F44" s="12">
        <f t="shared" si="0"/>
        <v>11500</v>
      </c>
    </row>
    <row r="45" spans="1:6">
      <c r="A45" s="1">
        <v>45343</v>
      </c>
      <c r="B45" t="s">
        <v>320</v>
      </c>
      <c r="C45" t="s">
        <v>279</v>
      </c>
      <c r="D45" s="12">
        <v>3300</v>
      </c>
      <c r="E45">
        <v>0</v>
      </c>
      <c r="F45" s="12">
        <f t="shared" si="0"/>
        <v>14800</v>
      </c>
    </row>
    <row r="46" spans="1:6">
      <c r="A46" s="1">
        <v>45343</v>
      </c>
      <c r="B46" t="s">
        <v>321</v>
      </c>
      <c r="C46" t="s">
        <v>279</v>
      </c>
      <c r="D46" s="12">
        <v>1000</v>
      </c>
      <c r="E46">
        <v>0</v>
      </c>
      <c r="F46" s="12">
        <f t="shared" si="0"/>
        <v>15800</v>
      </c>
    </row>
    <row r="47" spans="1:6">
      <c r="A47" s="1">
        <v>45344</v>
      </c>
      <c r="B47" t="s">
        <v>322</v>
      </c>
      <c r="C47" t="s">
        <v>277</v>
      </c>
      <c r="D47">
        <v>0</v>
      </c>
      <c r="E47" s="12">
        <v>1500</v>
      </c>
      <c r="F47" s="12">
        <f t="shared" si="0"/>
        <v>14300</v>
      </c>
    </row>
    <row r="48" spans="1:6">
      <c r="A48" s="1">
        <v>45344</v>
      </c>
      <c r="B48" t="s">
        <v>323</v>
      </c>
      <c r="C48" t="s">
        <v>277</v>
      </c>
      <c r="D48">
        <v>0</v>
      </c>
      <c r="E48">
        <v>500</v>
      </c>
      <c r="F48" s="12">
        <f t="shared" si="0"/>
        <v>13800</v>
      </c>
    </row>
    <row r="49" spans="1:6">
      <c r="A49" s="1">
        <v>45345</v>
      </c>
      <c r="B49" t="s">
        <v>324</v>
      </c>
      <c r="C49" t="s">
        <v>279</v>
      </c>
      <c r="D49" s="12">
        <v>3750</v>
      </c>
      <c r="E49">
        <v>0</v>
      </c>
      <c r="F49" s="12">
        <f t="shared" si="0"/>
        <v>17550</v>
      </c>
    </row>
    <row r="50" spans="1:6">
      <c r="A50" s="1">
        <v>45345</v>
      </c>
      <c r="B50" t="s">
        <v>325</v>
      </c>
      <c r="C50" t="s">
        <v>277</v>
      </c>
      <c r="D50">
        <v>0</v>
      </c>
      <c r="E50" s="12">
        <v>1600</v>
      </c>
      <c r="F50" s="12">
        <f t="shared" si="0"/>
        <v>15950</v>
      </c>
    </row>
    <row r="51" spans="1:6">
      <c r="A51" s="1">
        <v>45346</v>
      </c>
      <c r="B51" t="s">
        <v>326</v>
      </c>
      <c r="C51" t="s">
        <v>279</v>
      </c>
      <c r="D51" s="12">
        <v>1800</v>
      </c>
      <c r="E51">
        <v>0</v>
      </c>
      <c r="F51" s="12">
        <f t="shared" si="0"/>
        <v>17750</v>
      </c>
    </row>
    <row r="52" spans="1:6">
      <c r="A52" s="1">
        <v>45346</v>
      </c>
      <c r="B52" t="s">
        <v>327</v>
      </c>
      <c r="C52" t="s">
        <v>279</v>
      </c>
      <c r="D52" s="12">
        <v>2000</v>
      </c>
      <c r="E52">
        <v>0</v>
      </c>
      <c r="F52" s="12">
        <f t="shared" si="0"/>
        <v>19750</v>
      </c>
    </row>
    <row r="53" spans="1:6">
      <c r="A53" s="1">
        <v>45344</v>
      </c>
      <c r="B53" t="s">
        <v>328</v>
      </c>
      <c r="C53" t="s">
        <v>277</v>
      </c>
      <c r="D53">
        <v>0</v>
      </c>
      <c r="E53" s="12">
        <v>1250</v>
      </c>
      <c r="F53" s="12">
        <f t="shared" si="0"/>
        <v>18500</v>
      </c>
    </row>
    <row r="54" spans="1:6">
      <c r="A54" s="1">
        <v>45344</v>
      </c>
      <c r="B54" t="s">
        <v>329</v>
      </c>
      <c r="C54" t="s">
        <v>279</v>
      </c>
      <c r="D54" s="12">
        <v>1200</v>
      </c>
      <c r="E54">
        <v>0</v>
      </c>
      <c r="F54" s="12">
        <f t="shared" si="0"/>
        <v>19700</v>
      </c>
    </row>
    <row r="55" spans="1:6">
      <c r="A55" s="1">
        <v>45344</v>
      </c>
      <c r="B55" t="s">
        <v>330</v>
      </c>
      <c r="C55" t="s">
        <v>279</v>
      </c>
      <c r="D55" s="12">
        <v>2400</v>
      </c>
      <c r="E55">
        <v>0</v>
      </c>
      <c r="F55" s="12">
        <f t="shared" si="0"/>
        <v>22100</v>
      </c>
    </row>
    <row r="56" spans="1:6">
      <c r="A56" s="1">
        <v>45345</v>
      </c>
      <c r="B56" t="s">
        <v>331</v>
      </c>
      <c r="C56" t="s">
        <v>277</v>
      </c>
      <c r="D56">
        <v>0</v>
      </c>
      <c r="E56" s="12">
        <v>2000</v>
      </c>
      <c r="F56" s="12">
        <f t="shared" si="0"/>
        <v>20100</v>
      </c>
    </row>
    <row r="57" spans="1:6">
      <c r="A57" s="1">
        <v>45345</v>
      </c>
      <c r="B57" t="s">
        <v>332</v>
      </c>
      <c r="C57" t="s">
        <v>279</v>
      </c>
      <c r="D57" s="12">
        <v>2750</v>
      </c>
      <c r="E57">
        <v>0</v>
      </c>
      <c r="F57" s="12">
        <f t="shared" si="0"/>
        <v>22850</v>
      </c>
    </row>
    <row r="58" spans="1:6">
      <c r="A58" s="1">
        <v>45346</v>
      </c>
      <c r="B58" t="s">
        <v>333</v>
      </c>
      <c r="C58" t="s">
        <v>279</v>
      </c>
      <c r="D58" s="12">
        <v>1500</v>
      </c>
      <c r="E58">
        <v>0</v>
      </c>
      <c r="F58" s="12">
        <f t="shared" si="0"/>
        <v>24350</v>
      </c>
    </row>
    <row r="59" spans="1:6">
      <c r="A59" s="1">
        <v>45346</v>
      </c>
      <c r="B59" t="s">
        <v>334</v>
      </c>
      <c r="C59" t="s">
        <v>277</v>
      </c>
      <c r="D59">
        <v>0</v>
      </c>
      <c r="E59" s="12">
        <v>4100</v>
      </c>
      <c r="F59" s="12">
        <f t="shared" si="0"/>
        <v>20250</v>
      </c>
    </row>
    <row r="60" spans="1:6">
      <c r="A60" s="1">
        <v>45346</v>
      </c>
      <c r="B60" t="s">
        <v>335</v>
      </c>
      <c r="C60" t="s">
        <v>279</v>
      </c>
      <c r="D60" s="12">
        <v>2300</v>
      </c>
      <c r="E60">
        <v>0</v>
      </c>
      <c r="F60" s="12">
        <f t="shared" si="0"/>
        <v>22550</v>
      </c>
    </row>
    <row r="61" spans="1:6">
      <c r="A61" s="1">
        <v>45346</v>
      </c>
      <c r="B61" t="s">
        <v>336</v>
      </c>
      <c r="C61" t="s">
        <v>277</v>
      </c>
      <c r="D61">
        <v>0</v>
      </c>
      <c r="E61">
        <v>900</v>
      </c>
      <c r="F61" s="12">
        <f t="shared" si="0"/>
        <v>21650</v>
      </c>
    </row>
    <row r="62" spans="1:6">
      <c r="A62" s="1">
        <v>45346</v>
      </c>
      <c r="B62" t="s">
        <v>337</v>
      </c>
      <c r="C62" t="s">
        <v>279</v>
      </c>
      <c r="D62" s="12">
        <v>1950</v>
      </c>
      <c r="E62">
        <v>0</v>
      </c>
      <c r="F62" s="12">
        <f t="shared" si="0"/>
        <v>23600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B637-899D-4808-935B-548B6A7E34F9}">
  <dimension ref="A1:G45"/>
  <sheetViews>
    <sheetView workbookViewId="0">
      <selection activeCell="O22" sqref="O22"/>
    </sheetView>
  </sheetViews>
  <sheetFormatPr defaultRowHeight="15"/>
  <cols>
    <col min="1" max="1" width="13.7109375" bestFit="1" customWidth="1"/>
    <col min="2" max="2" width="24.28515625" customWidth="1"/>
    <col min="3" max="3" width="12.85546875" bestFit="1" customWidth="1"/>
    <col min="4" max="4" width="12.28515625" bestFit="1" customWidth="1"/>
    <col min="5" max="5" width="10.42578125" bestFit="1" customWidth="1"/>
    <col min="6" max="6" width="16.5703125" bestFit="1" customWidth="1"/>
    <col min="7" max="7" width="14" bestFit="1" customWidth="1"/>
  </cols>
  <sheetData>
    <row r="1" spans="1:7">
      <c r="A1" s="2" t="s">
        <v>0</v>
      </c>
      <c r="B1" s="2" t="s">
        <v>1</v>
      </c>
      <c r="C1" s="2" t="s">
        <v>79</v>
      </c>
      <c r="D1" s="2" t="s">
        <v>84</v>
      </c>
      <c r="E1" s="2" t="s">
        <v>89</v>
      </c>
      <c r="F1" s="2" t="s">
        <v>90</v>
      </c>
      <c r="G1" s="2" t="s">
        <v>338</v>
      </c>
    </row>
    <row r="2" spans="1:7">
      <c r="A2" t="s">
        <v>16</v>
      </c>
      <c r="B2" t="s">
        <v>17</v>
      </c>
      <c r="C2" t="s">
        <v>98</v>
      </c>
      <c r="D2" s="1">
        <v>45327</v>
      </c>
      <c r="E2" s="4">
        <v>1000</v>
      </c>
      <c r="F2">
        <v>19</v>
      </c>
      <c r="G2" t="s">
        <v>339</v>
      </c>
    </row>
    <row r="3" spans="1:7">
      <c r="A3" t="s">
        <v>23</v>
      </c>
      <c r="B3" t="s">
        <v>24</v>
      </c>
      <c r="C3" t="s">
        <v>100</v>
      </c>
      <c r="D3" s="1">
        <v>45332</v>
      </c>
      <c r="E3" s="4">
        <v>900</v>
      </c>
      <c r="F3">
        <v>14</v>
      </c>
      <c r="G3" t="s">
        <v>339</v>
      </c>
    </row>
    <row r="4" spans="1:7">
      <c r="A4" t="s">
        <v>7</v>
      </c>
      <c r="B4" t="s">
        <v>8</v>
      </c>
      <c r="C4" t="s">
        <v>102</v>
      </c>
      <c r="D4" s="1">
        <v>45332</v>
      </c>
      <c r="E4" s="4">
        <v>1400</v>
      </c>
      <c r="F4">
        <v>14</v>
      </c>
      <c r="G4" t="s">
        <v>339</v>
      </c>
    </row>
    <row r="5" spans="1:7">
      <c r="A5" t="s">
        <v>13</v>
      </c>
      <c r="B5" t="s">
        <v>14</v>
      </c>
      <c r="C5" t="s">
        <v>104</v>
      </c>
      <c r="D5" s="1">
        <v>45364</v>
      </c>
      <c r="E5" s="4">
        <v>3600</v>
      </c>
      <c r="F5">
        <v>0</v>
      </c>
      <c r="G5" t="s">
        <v>340</v>
      </c>
    </row>
    <row r="6" spans="1:7">
      <c r="A6" t="s">
        <v>18</v>
      </c>
      <c r="B6" t="s">
        <v>19</v>
      </c>
      <c r="C6" t="s">
        <v>108</v>
      </c>
      <c r="D6" s="1">
        <v>45351</v>
      </c>
      <c r="E6" s="4">
        <v>2200</v>
      </c>
      <c r="F6">
        <v>0</v>
      </c>
      <c r="G6" t="s">
        <v>340</v>
      </c>
    </row>
    <row r="7" spans="1:7">
      <c r="A7" t="s">
        <v>33</v>
      </c>
      <c r="B7" t="s">
        <v>34</v>
      </c>
      <c r="C7" t="s">
        <v>113</v>
      </c>
      <c r="D7" s="1">
        <v>45340</v>
      </c>
      <c r="E7" s="4">
        <v>950</v>
      </c>
      <c r="F7">
        <v>6</v>
      </c>
      <c r="G7" t="s">
        <v>339</v>
      </c>
    </row>
    <row r="8" spans="1:7">
      <c r="A8" t="s">
        <v>36</v>
      </c>
      <c r="B8" t="s">
        <v>37</v>
      </c>
      <c r="C8" t="s">
        <v>115</v>
      </c>
      <c r="D8" s="1">
        <v>45358</v>
      </c>
      <c r="E8" s="4">
        <v>1600</v>
      </c>
      <c r="F8">
        <v>0</v>
      </c>
      <c r="G8" t="s">
        <v>340</v>
      </c>
    </row>
    <row r="9" spans="1:7">
      <c r="A9" t="s">
        <v>38</v>
      </c>
      <c r="B9" t="s">
        <v>39</v>
      </c>
      <c r="C9" t="s">
        <v>117</v>
      </c>
      <c r="D9" s="1">
        <v>45345</v>
      </c>
      <c r="E9" s="4">
        <v>1100</v>
      </c>
      <c r="F9">
        <v>1</v>
      </c>
      <c r="G9" t="s">
        <v>339</v>
      </c>
    </row>
    <row r="10" spans="1:7">
      <c r="A10" t="s">
        <v>42</v>
      </c>
      <c r="B10" t="s">
        <v>43</v>
      </c>
      <c r="C10" t="s">
        <v>121</v>
      </c>
      <c r="D10" s="1">
        <v>45350</v>
      </c>
      <c r="E10" s="4">
        <v>1750</v>
      </c>
      <c r="F10">
        <v>0</v>
      </c>
      <c r="G10" t="s">
        <v>340</v>
      </c>
    </row>
    <row r="11" spans="1:7">
      <c r="A11" t="s">
        <v>44</v>
      </c>
      <c r="B11" t="s">
        <v>45</v>
      </c>
      <c r="C11" t="s">
        <v>123</v>
      </c>
      <c r="D11" s="1">
        <v>45352</v>
      </c>
      <c r="E11" s="4">
        <v>700</v>
      </c>
      <c r="F11">
        <v>0</v>
      </c>
      <c r="G11" t="s">
        <v>340</v>
      </c>
    </row>
    <row r="12" spans="1:7">
      <c r="A12" t="s">
        <v>46</v>
      </c>
      <c r="B12" t="s">
        <v>47</v>
      </c>
      <c r="C12" t="s">
        <v>125</v>
      </c>
      <c r="D12" s="1">
        <v>45369</v>
      </c>
      <c r="E12" s="4">
        <v>2150</v>
      </c>
      <c r="F12">
        <v>0</v>
      </c>
      <c r="G12" t="s">
        <v>340</v>
      </c>
    </row>
    <row r="13" spans="1:7">
      <c r="A13" t="s">
        <v>4</v>
      </c>
      <c r="B13" t="s">
        <v>5</v>
      </c>
      <c r="C13" t="s">
        <v>127</v>
      </c>
      <c r="D13" s="1">
        <v>45356</v>
      </c>
      <c r="E13" s="4">
        <v>1450</v>
      </c>
      <c r="F13">
        <v>0</v>
      </c>
      <c r="G13" t="s">
        <v>340</v>
      </c>
    </row>
    <row r="14" spans="1:7">
      <c r="A14" t="s">
        <v>7</v>
      </c>
      <c r="B14" t="s">
        <v>8</v>
      </c>
      <c r="C14" t="s">
        <v>128</v>
      </c>
      <c r="D14" s="1">
        <v>45372</v>
      </c>
      <c r="E14" s="4">
        <v>1700</v>
      </c>
      <c r="F14">
        <v>0</v>
      </c>
      <c r="G14" t="s">
        <v>340</v>
      </c>
    </row>
    <row r="15" spans="1:7">
      <c r="A15" t="s">
        <v>13</v>
      </c>
      <c r="B15" t="s">
        <v>14</v>
      </c>
      <c r="C15" t="s">
        <v>132</v>
      </c>
      <c r="D15" s="1">
        <v>45391</v>
      </c>
      <c r="E15" s="4">
        <v>4200</v>
      </c>
      <c r="F15">
        <v>0</v>
      </c>
      <c r="G15" t="s">
        <v>340</v>
      </c>
    </row>
    <row r="16" spans="1:7">
      <c r="A16" t="s">
        <v>18</v>
      </c>
      <c r="B16" t="s">
        <v>19</v>
      </c>
      <c r="C16" t="s">
        <v>135</v>
      </c>
      <c r="D16" s="1">
        <v>45379</v>
      </c>
      <c r="E16" s="4">
        <v>1800</v>
      </c>
      <c r="F16">
        <v>0</v>
      </c>
      <c r="G16" t="s">
        <v>340</v>
      </c>
    </row>
    <row r="17" spans="1:7">
      <c r="A17" t="s">
        <v>21</v>
      </c>
      <c r="B17" t="s">
        <v>22</v>
      </c>
      <c r="C17" t="s">
        <v>137</v>
      </c>
      <c r="D17" s="1">
        <v>45366</v>
      </c>
      <c r="E17" s="4">
        <v>1250</v>
      </c>
      <c r="F17">
        <v>0</v>
      </c>
      <c r="G17" t="s">
        <v>340</v>
      </c>
    </row>
    <row r="18" spans="1:7">
      <c r="A18" t="s">
        <v>26</v>
      </c>
      <c r="B18" t="s">
        <v>27</v>
      </c>
      <c r="C18" t="s">
        <v>140</v>
      </c>
      <c r="D18" s="1">
        <v>45369</v>
      </c>
      <c r="E18" s="4">
        <v>2100</v>
      </c>
      <c r="F18">
        <v>0</v>
      </c>
      <c r="G18" t="s">
        <v>340</v>
      </c>
    </row>
    <row r="19" spans="1:7">
      <c r="A19" t="s">
        <v>28</v>
      </c>
      <c r="B19" t="s">
        <v>29</v>
      </c>
      <c r="C19" t="s">
        <v>142</v>
      </c>
      <c r="D19" s="1">
        <v>45386</v>
      </c>
      <c r="E19" s="4">
        <v>1000</v>
      </c>
      <c r="F19">
        <v>0</v>
      </c>
      <c r="G19" t="s">
        <v>340</v>
      </c>
    </row>
    <row r="20" spans="1:7">
      <c r="A20" t="s">
        <v>31</v>
      </c>
      <c r="B20" t="s">
        <v>32</v>
      </c>
      <c r="C20" t="s">
        <v>143</v>
      </c>
      <c r="D20" s="1">
        <v>45372</v>
      </c>
      <c r="E20" s="4">
        <v>875</v>
      </c>
      <c r="F20">
        <v>0</v>
      </c>
      <c r="G20" t="s">
        <v>340</v>
      </c>
    </row>
    <row r="21" spans="1:7">
      <c r="A21" t="s">
        <v>36</v>
      </c>
      <c r="B21" t="s">
        <v>37</v>
      </c>
      <c r="C21" t="s">
        <v>147</v>
      </c>
      <c r="D21" s="1">
        <v>45340</v>
      </c>
      <c r="E21" s="4">
        <v>2750</v>
      </c>
      <c r="F21">
        <v>6</v>
      </c>
      <c r="G21" t="s">
        <v>339</v>
      </c>
    </row>
    <row r="22" spans="1:7">
      <c r="A22" t="s">
        <v>40</v>
      </c>
      <c r="B22" t="s">
        <v>41</v>
      </c>
      <c r="C22" t="s">
        <v>150</v>
      </c>
      <c r="D22" s="1">
        <v>45358</v>
      </c>
      <c r="E22" s="4">
        <v>4750</v>
      </c>
      <c r="F22">
        <v>0</v>
      </c>
      <c r="G22" t="s">
        <v>340</v>
      </c>
    </row>
    <row r="23" spans="1:7">
      <c r="A23" t="s">
        <v>42</v>
      </c>
      <c r="B23" t="s">
        <v>43</v>
      </c>
      <c r="C23" t="s">
        <v>152</v>
      </c>
      <c r="D23" s="1">
        <v>45330</v>
      </c>
      <c r="E23" s="4">
        <v>1150</v>
      </c>
      <c r="F23">
        <v>16</v>
      </c>
      <c r="G23" t="s">
        <v>339</v>
      </c>
    </row>
    <row r="24" spans="1:7">
      <c r="A24" t="s">
        <v>44</v>
      </c>
      <c r="B24" t="s">
        <v>45</v>
      </c>
      <c r="C24" t="s">
        <v>154</v>
      </c>
      <c r="D24" s="1">
        <v>45332</v>
      </c>
      <c r="E24" s="4">
        <v>950</v>
      </c>
      <c r="F24">
        <v>14</v>
      </c>
      <c r="G24" t="s">
        <v>339</v>
      </c>
    </row>
    <row r="25" spans="1:7">
      <c r="A25" t="s">
        <v>46</v>
      </c>
      <c r="B25" t="s">
        <v>47</v>
      </c>
      <c r="C25" t="s">
        <v>155</v>
      </c>
      <c r="D25" s="1">
        <v>45348</v>
      </c>
      <c r="E25" s="4">
        <v>3100</v>
      </c>
      <c r="F25">
        <v>0</v>
      </c>
      <c r="G25" t="s">
        <v>340</v>
      </c>
    </row>
    <row r="26" spans="1:7">
      <c r="A26" t="s">
        <v>7</v>
      </c>
      <c r="B26" t="s">
        <v>8</v>
      </c>
      <c r="C26" t="s">
        <v>159</v>
      </c>
      <c r="D26" s="1">
        <v>45352</v>
      </c>
      <c r="E26" s="4">
        <v>1650</v>
      </c>
      <c r="F26">
        <v>0</v>
      </c>
      <c r="G26" t="s">
        <v>340</v>
      </c>
    </row>
    <row r="27" spans="1:7">
      <c r="A27" t="s">
        <v>10</v>
      </c>
      <c r="B27" t="s">
        <v>11</v>
      </c>
      <c r="C27" t="s">
        <v>160</v>
      </c>
      <c r="D27" s="1">
        <v>45338</v>
      </c>
      <c r="E27" s="4">
        <v>1100</v>
      </c>
      <c r="F27">
        <v>8</v>
      </c>
      <c r="G27" t="s">
        <v>339</v>
      </c>
    </row>
    <row r="28" spans="1:7">
      <c r="A28" t="s">
        <v>13</v>
      </c>
      <c r="B28" t="s">
        <v>14</v>
      </c>
      <c r="C28" t="s">
        <v>162</v>
      </c>
      <c r="D28" s="1">
        <v>45370</v>
      </c>
      <c r="E28" s="4">
        <v>4300</v>
      </c>
      <c r="F28">
        <v>0</v>
      </c>
      <c r="G28" t="s">
        <v>340</v>
      </c>
    </row>
    <row r="29" spans="1:7">
      <c r="A29" t="s">
        <v>16</v>
      </c>
      <c r="B29" t="s">
        <v>17</v>
      </c>
      <c r="C29" t="s">
        <v>164</v>
      </c>
      <c r="D29" s="1">
        <v>45342</v>
      </c>
      <c r="E29" s="4">
        <v>1650</v>
      </c>
      <c r="F29">
        <v>4</v>
      </c>
      <c r="G29" t="s">
        <v>339</v>
      </c>
    </row>
    <row r="30" spans="1:7">
      <c r="A30" t="s">
        <v>21</v>
      </c>
      <c r="B30" t="s">
        <v>22</v>
      </c>
      <c r="C30" t="s">
        <v>167</v>
      </c>
      <c r="D30" s="1">
        <v>45345</v>
      </c>
      <c r="E30" s="4">
        <v>1400</v>
      </c>
      <c r="F30">
        <v>1</v>
      </c>
      <c r="G30" t="s">
        <v>339</v>
      </c>
    </row>
    <row r="31" spans="1:7">
      <c r="A31" t="s">
        <v>26</v>
      </c>
      <c r="B31" t="s">
        <v>27</v>
      </c>
      <c r="C31" t="s">
        <v>171</v>
      </c>
      <c r="D31" s="1">
        <v>45349</v>
      </c>
      <c r="E31" s="4">
        <v>1200</v>
      </c>
      <c r="F31">
        <v>0</v>
      </c>
      <c r="G31" t="s">
        <v>340</v>
      </c>
    </row>
    <row r="32" spans="1:7">
      <c r="A32" t="s">
        <v>28</v>
      </c>
      <c r="B32" t="s">
        <v>29</v>
      </c>
      <c r="C32" t="s">
        <v>172</v>
      </c>
      <c r="D32" s="1">
        <v>45365</v>
      </c>
      <c r="E32" s="4">
        <v>2700</v>
      </c>
      <c r="F32">
        <v>0</v>
      </c>
      <c r="G32" t="s">
        <v>340</v>
      </c>
    </row>
    <row r="33" spans="1:7">
      <c r="A33" t="s">
        <v>31</v>
      </c>
      <c r="B33" t="s">
        <v>32</v>
      </c>
      <c r="C33" t="s">
        <v>174</v>
      </c>
      <c r="D33" s="1">
        <v>45352</v>
      </c>
      <c r="E33" s="4">
        <v>1150</v>
      </c>
      <c r="F33">
        <v>0</v>
      </c>
      <c r="G33" t="s">
        <v>340</v>
      </c>
    </row>
    <row r="34" spans="1:7">
      <c r="A34" t="s">
        <v>36</v>
      </c>
      <c r="B34" t="s">
        <v>37</v>
      </c>
      <c r="C34" t="s">
        <v>177</v>
      </c>
      <c r="D34" s="1">
        <v>45370</v>
      </c>
      <c r="E34" s="4">
        <v>3250</v>
      </c>
      <c r="F34">
        <v>0</v>
      </c>
      <c r="G34" t="s">
        <v>340</v>
      </c>
    </row>
    <row r="35" spans="1:7">
      <c r="A35" t="s">
        <v>38</v>
      </c>
      <c r="B35" t="s">
        <v>39</v>
      </c>
      <c r="C35" t="s">
        <v>179</v>
      </c>
      <c r="D35" s="1">
        <v>45357</v>
      </c>
      <c r="E35" s="4">
        <v>800</v>
      </c>
      <c r="F35">
        <v>0</v>
      </c>
      <c r="G35" t="s">
        <v>340</v>
      </c>
    </row>
    <row r="36" spans="1:7">
      <c r="A36" t="s">
        <v>40</v>
      </c>
      <c r="B36" t="s">
        <v>41</v>
      </c>
      <c r="C36" t="s">
        <v>181</v>
      </c>
      <c r="D36" s="1">
        <v>45389</v>
      </c>
      <c r="E36" s="4">
        <v>4950</v>
      </c>
      <c r="F36">
        <v>0</v>
      </c>
      <c r="G36" t="s">
        <v>340</v>
      </c>
    </row>
    <row r="37" spans="1:7">
      <c r="A37" t="s">
        <v>44</v>
      </c>
      <c r="B37" t="s">
        <v>45</v>
      </c>
      <c r="C37" t="s">
        <v>184</v>
      </c>
      <c r="D37" s="1">
        <v>45362</v>
      </c>
      <c r="E37" s="4">
        <v>850</v>
      </c>
      <c r="F37">
        <v>0</v>
      </c>
      <c r="G37" t="s">
        <v>340</v>
      </c>
    </row>
    <row r="38" spans="1:7">
      <c r="A38" t="s">
        <v>46</v>
      </c>
      <c r="B38" t="s">
        <v>47</v>
      </c>
      <c r="C38" t="s">
        <v>187</v>
      </c>
      <c r="D38" s="1">
        <v>45380</v>
      </c>
      <c r="E38" s="4">
        <v>2450</v>
      </c>
      <c r="F38">
        <v>0</v>
      </c>
      <c r="G38" t="s">
        <v>340</v>
      </c>
    </row>
    <row r="39" spans="1:7">
      <c r="A39" t="s">
        <v>7</v>
      </c>
      <c r="B39" t="s">
        <v>8</v>
      </c>
      <c r="C39" t="s">
        <v>191</v>
      </c>
      <c r="D39" s="1">
        <v>45384</v>
      </c>
      <c r="E39" s="4">
        <v>3700</v>
      </c>
      <c r="F39">
        <v>0</v>
      </c>
      <c r="G39" t="s">
        <v>340</v>
      </c>
    </row>
    <row r="40" spans="1:7">
      <c r="A40" t="s">
        <v>10</v>
      </c>
      <c r="B40" t="s">
        <v>11</v>
      </c>
      <c r="C40" t="s">
        <v>193</v>
      </c>
      <c r="D40" s="1">
        <v>45371</v>
      </c>
      <c r="E40" s="4">
        <v>1050</v>
      </c>
      <c r="F40">
        <v>0</v>
      </c>
      <c r="G40" t="s">
        <v>340</v>
      </c>
    </row>
    <row r="41" spans="1:7">
      <c r="A41" t="s">
        <v>13</v>
      </c>
      <c r="B41" t="s">
        <v>14</v>
      </c>
      <c r="C41" t="s">
        <v>195</v>
      </c>
      <c r="D41" s="1">
        <v>45403</v>
      </c>
      <c r="E41" s="4">
        <v>3200</v>
      </c>
      <c r="F41">
        <v>0</v>
      </c>
      <c r="G41" t="s">
        <v>340</v>
      </c>
    </row>
    <row r="42" spans="1:7">
      <c r="A42" t="s">
        <v>16</v>
      </c>
      <c r="B42" t="s">
        <v>17</v>
      </c>
      <c r="C42" t="s">
        <v>197</v>
      </c>
      <c r="D42" s="1">
        <v>45375</v>
      </c>
      <c r="E42" s="4">
        <v>1800</v>
      </c>
      <c r="F42">
        <v>0</v>
      </c>
      <c r="G42" t="s">
        <v>340</v>
      </c>
    </row>
    <row r="43" spans="1:7">
      <c r="A43" t="s">
        <v>21</v>
      </c>
      <c r="B43" t="s">
        <v>22</v>
      </c>
      <c r="C43" t="s">
        <v>199</v>
      </c>
      <c r="D43" s="1">
        <v>45326</v>
      </c>
      <c r="E43" s="4">
        <v>1600</v>
      </c>
      <c r="F43">
        <v>20</v>
      </c>
      <c r="G43" t="s">
        <v>339</v>
      </c>
    </row>
    <row r="44" spans="1:7">
      <c r="A44" t="s">
        <v>26</v>
      </c>
      <c r="B44" t="s">
        <v>27</v>
      </c>
      <c r="C44" t="s">
        <v>203</v>
      </c>
      <c r="D44" s="1">
        <v>45330</v>
      </c>
      <c r="E44" s="4">
        <v>1350</v>
      </c>
      <c r="F44">
        <v>16</v>
      </c>
      <c r="G44" t="s">
        <v>339</v>
      </c>
    </row>
    <row r="45" spans="1:7">
      <c r="A45" t="s">
        <v>28</v>
      </c>
      <c r="B45" t="s">
        <v>29</v>
      </c>
      <c r="C45" t="s">
        <v>205</v>
      </c>
      <c r="D45" s="1">
        <v>45347</v>
      </c>
      <c r="E45" s="4">
        <v>2900</v>
      </c>
      <c r="F45">
        <v>0</v>
      </c>
      <c r="G45" t="s">
        <v>340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1852-B4BE-42C1-AE42-E7BCCD2242FA}">
  <dimension ref="A1:G36"/>
  <sheetViews>
    <sheetView workbookViewId="0">
      <selection activeCell="E15" sqref="E15"/>
    </sheetView>
  </sheetViews>
  <sheetFormatPr defaultRowHeight="15"/>
  <cols>
    <col min="1" max="1" width="15" bestFit="1" customWidth="1"/>
    <col min="2" max="2" width="22.42578125" customWidth="1"/>
    <col min="3" max="3" width="12.85546875" bestFit="1" customWidth="1"/>
    <col min="4" max="4" width="12.28515625" bestFit="1" customWidth="1"/>
    <col min="5" max="5" width="10.42578125" bestFit="1" customWidth="1"/>
    <col min="6" max="6" width="16.5703125" bestFit="1" customWidth="1"/>
    <col min="7" max="7" width="14" bestFit="1" customWidth="1"/>
  </cols>
  <sheetData>
    <row r="1" spans="1:7">
      <c r="A1" s="2" t="s">
        <v>48</v>
      </c>
      <c r="B1" s="2" t="s">
        <v>49</v>
      </c>
      <c r="C1" s="2" t="s">
        <v>79</v>
      </c>
      <c r="D1" s="2" t="s">
        <v>84</v>
      </c>
      <c r="E1" s="2" t="s">
        <v>89</v>
      </c>
      <c r="F1" s="2" t="s">
        <v>90</v>
      </c>
      <c r="G1" s="2" t="s">
        <v>338</v>
      </c>
    </row>
    <row r="2" spans="1:7">
      <c r="A2" t="s">
        <v>51</v>
      </c>
      <c r="B2" t="s">
        <v>52</v>
      </c>
      <c r="C2" t="s">
        <v>94</v>
      </c>
      <c r="D2" s="1">
        <v>45323</v>
      </c>
      <c r="E2" s="12">
        <v>1500</v>
      </c>
      <c r="F2">
        <v>23</v>
      </c>
      <c r="G2" t="s">
        <v>339</v>
      </c>
    </row>
    <row r="3" spans="1:7">
      <c r="A3" t="s">
        <v>59</v>
      </c>
      <c r="B3" t="s">
        <v>60</v>
      </c>
      <c r="C3" t="s">
        <v>106</v>
      </c>
      <c r="D3" s="1">
        <v>45335</v>
      </c>
      <c r="E3" s="12">
        <v>1150</v>
      </c>
      <c r="F3">
        <v>11</v>
      </c>
      <c r="G3" t="s">
        <v>339</v>
      </c>
    </row>
    <row r="4" spans="1:7">
      <c r="A4" t="s">
        <v>65</v>
      </c>
      <c r="B4" t="s">
        <v>66</v>
      </c>
      <c r="C4" t="s">
        <v>109</v>
      </c>
      <c r="D4" s="1">
        <v>45367</v>
      </c>
      <c r="E4" s="12">
        <v>4100</v>
      </c>
      <c r="F4">
        <v>0</v>
      </c>
      <c r="G4" t="s">
        <v>340</v>
      </c>
    </row>
    <row r="5" spans="1:7">
      <c r="A5" t="s">
        <v>71</v>
      </c>
      <c r="B5" t="s">
        <v>72</v>
      </c>
      <c r="C5" t="s">
        <v>112</v>
      </c>
      <c r="D5" s="1">
        <v>45339</v>
      </c>
      <c r="E5" s="12">
        <v>1850</v>
      </c>
      <c r="F5">
        <v>7</v>
      </c>
      <c r="G5" t="s">
        <v>339</v>
      </c>
    </row>
    <row r="6" spans="1:7">
      <c r="A6" t="s">
        <v>73</v>
      </c>
      <c r="B6" t="s">
        <v>74</v>
      </c>
      <c r="C6" t="s">
        <v>114</v>
      </c>
      <c r="D6" s="1">
        <v>45356</v>
      </c>
      <c r="E6" s="12">
        <v>3750</v>
      </c>
      <c r="F6">
        <v>0</v>
      </c>
      <c r="G6" t="s">
        <v>340</v>
      </c>
    </row>
    <row r="7" spans="1:7">
      <c r="A7" t="s">
        <v>77</v>
      </c>
      <c r="B7" t="s">
        <v>78</v>
      </c>
      <c r="C7" t="s">
        <v>118</v>
      </c>
      <c r="D7" s="1">
        <v>45376</v>
      </c>
      <c r="E7" s="12">
        <v>5200</v>
      </c>
      <c r="F7">
        <v>0</v>
      </c>
      <c r="G7" t="s">
        <v>340</v>
      </c>
    </row>
    <row r="8" spans="1:7">
      <c r="A8" t="s">
        <v>57</v>
      </c>
      <c r="B8" t="s">
        <v>58</v>
      </c>
      <c r="C8" t="s">
        <v>120</v>
      </c>
      <c r="D8" s="1">
        <v>45378</v>
      </c>
      <c r="E8" s="12">
        <v>1500</v>
      </c>
      <c r="F8">
        <v>0</v>
      </c>
      <c r="G8" t="s">
        <v>340</v>
      </c>
    </row>
    <row r="9" spans="1:7">
      <c r="A9" t="s">
        <v>63</v>
      </c>
      <c r="B9" t="s">
        <v>64</v>
      </c>
      <c r="C9" t="s">
        <v>124</v>
      </c>
      <c r="D9" s="1">
        <v>45353</v>
      </c>
      <c r="E9" s="12">
        <v>2200</v>
      </c>
      <c r="F9">
        <v>0</v>
      </c>
      <c r="G9" t="s">
        <v>340</v>
      </c>
    </row>
    <row r="10" spans="1:7">
      <c r="A10" t="s">
        <v>51</v>
      </c>
      <c r="B10" t="s">
        <v>52</v>
      </c>
      <c r="C10" t="s">
        <v>129</v>
      </c>
      <c r="D10" s="1">
        <v>45358</v>
      </c>
      <c r="E10" s="12">
        <v>3100</v>
      </c>
      <c r="F10">
        <v>0</v>
      </c>
      <c r="G10" t="s">
        <v>340</v>
      </c>
    </row>
    <row r="11" spans="1:7">
      <c r="A11" t="s">
        <v>53</v>
      </c>
      <c r="B11" t="s">
        <v>54</v>
      </c>
      <c r="C11" t="s">
        <v>131</v>
      </c>
      <c r="D11" s="1">
        <v>45375</v>
      </c>
      <c r="E11" s="12">
        <v>1600</v>
      </c>
      <c r="F11">
        <v>0</v>
      </c>
      <c r="G11" t="s">
        <v>340</v>
      </c>
    </row>
    <row r="12" spans="1:7">
      <c r="A12" t="s">
        <v>55</v>
      </c>
      <c r="B12" t="s">
        <v>56</v>
      </c>
      <c r="C12" t="s">
        <v>134</v>
      </c>
      <c r="D12" s="1">
        <v>45363</v>
      </c>
      <c r="E12" s="12">
        <v>2250</v>
      </c>
      <c r="F12">
        <v>0</v>
      </c>
      <c r="G12" t="s">
        <v>340</v>
      </c>
    </row>
    <row r="13" spans="1:7">
      <c r="A13" t="s">
        <v>57</v>
      </c>
      <c r="B13" t="s">
        <v>58</v>
      </c>
      <c r="C13" t="s">
        <v>136</v>
      </c>
      <c r="D13" s="1">
        <v>45395</v>
      </c>
      <c r="E13" s="12">
        <v>4800</v>
      </c>
      <c r="F13">
        <v>0</v>
      </c>
      <c r="G13" t="s">
        <v>340</v>
      </c>
    </row>
    <row r="14" spans="1:7">
      <c r="A14" t="s">
        <v>59</v>
      </c>
      <c r="B14" t="s">
        <v>60</v>
      </c>
      <c r="C14" t="s">
        <v>139</v>
      </c>
      <c r="D14" s="1">
        <v>45368</v>
      </c>
      <c r="E14" s="12">
        <v>1150</v>
      </c>
      <c r="F14">
        <v>0</v>
      </c>
      <c r="G14" t="s">
        <v>340</v>
      </c>
    </row>
    <row r="15" spans="1:7">
      <c r="A15" t="s">
        <v>63</v>
      </c>
      <c r="B15" t="s">
        <v>64</v>
      </c>
      <c r="C15" t="s">
        <v>144</v>
      </c>
      <c r="D15" s="1">
        <v>45373</v>
      </c>
      <c r="E15" s="12">
        <v>2950</v>
      </c>
      <c r="F15">
        <v>0</v>
      </c>
      <c r="G15" t="s">
        <v>340</v>
      </c>
    </row>
    <row r="16" spans="1:7">
      <c r="A16" t="s">
        <v>65</v>
      </c>
      <c r="B16" t="s">
        <v>66</v>
      </c>
      <c r="C16" t="s">
        <v>146</v>
      </c>
      <c r="D16" s="1">
        <v>45405</v>
      </c>
      <c r="E16" s="12">
        <v>3100</v>
      </c>
      <c r="F16">
        <v>0</v>
      </c>
      <c r="G16" t="s">
        <v>340</v>
      </c>
    </row>
    <row r="17" spans="1:7">
      <c r="A17" t="s">
        <v>69</v>
      </c>
      <c r="B17" t="s">
        <v>70</v>
      </c>
      <c r="C17" t="s">
        <v>148</v>
      </c>
      <c r="D17" s="1">
        <v>45341</v>
      </c>
      <c r="E17" s="12">
        <v>2000</v>
      </c>
      <c r="F17">
        <v>5</v>
      </c>
      <c r="G17" t="s">
        <v>339</v>
      </c>
    </row>
    <row r="18" spans="1:7">
      <c r="A18" t="s">
        <v>71</v>
      </c>
      <c r="B18" t="s">
        <v>72</v>
      </c>
      <c r="C18" t="s">
        <v>151</v>
      </c>
      <c r="D18" s="1">
        <v>45329</v>
      </c>
      <c r="E18" s="12">
        <v>2400</v>
      </c>
      <c r="F18">
        <v>17</v>
      </c>
      <c r="G18" t="s">
        <v>339</v>
      </c>
    </row>
    <row r="19" spans="1:7">
      <c r="A19" t="s">
        <v>75</v>
      </c>
      <c r="B19" t="s">
        <v>76</v>
      </c>
      <c r="C19" t="s">
        <v>156</v>
      </c>
      <c r="D19" s="1">
        <v>45334</v>
      </c>
      <c r="E19" s="12">
        <v>1000</v>
      </c>
      <c r="F19">
        <v>12</v>
      </c>
      <c r="G19" t="s">
        <v>339</v>
      </c>
    </row>
    <row r="20" spans="1:7">
      <c r="A20" t="s">
        <v>77</v>
      </c>
      <c r="B20" t="s">
        <v>78</v>
      </c>
      <c r="C20" t="s">
        <v>158</v>
      </c>
      <c r="D20" s="1">
        <v>45366</v>
      </c>
      <c r="E20" s="12">
        <v>5500</v>
      </c>
      <c r="F20">
        <v>0</v>
      </c>
      <c r="G20" t="s">
        <v>340</v>
      </c>
    </row>
    <row r="21" spans="1:7">
      <c r="A21" t="s">
        <v>53</v>
      </c>
      <c r="B21" t="s">
        <v>54</v>
      </c>
      <c r="C21" t="s">
        <v>163</v>
      </c>
      <c r="D21" s="1">
        <v>45356</v>
      </c>
      <c r="E21" s="12">
        <v>1750</v>
      </c>
      <c r="F21">
        <v>0</v>
      </c>
      <c r="G21" t="s">
        <v>340</v>
      </c>
    </row>
    <row r="22" spans="1:7">
      <c r="A22" t="s">
        <v>55</v>
      </c>
      <c r="B22" t="s">
        <v>56</v>
      </c>
      <c r="C22" t="s">
        <v>166</v>
      </c>
      <c r="D22" s="1">
        <v>45344</v>
      </c>
      <c r="E22" s="12">
        <v>2250</v>
      </c>
      <c r="F22">
        <v>2</v>
      </c>
      <c r="G22" t="s">
        <v>339</v>
      </c>
    </row>
    <row r="23" spans="1:7">
      <c r="A23" t="s">
        <v>57</v>
      </c>
      <c r="B23" t="s">
        <v>58</v>
      </c>
      <c r="C23" t="s">
        <v>168</v>
      </c>
      <c r="D23" s="1">
        <v>45376</v>
      </c>
      <c r="E23" s="12">
        <v>4250</v>
      </c>
      <c r="F23">
        <v>0</v>
      </c>
      <c r="G23" t="s">
        <v>340</v>
      </c>
    </row>
    <row r="24" spans="1:7">
      <c r="A24" t="s">
        <v>59</v>
      </c>
      <c r="B24" t="s">
        <v>60</v>
      </c>
      <c r="C24" t="s">
        <v>170</v>
      </c>
      <c r="D24" s="1">
        <v>45348</v>
      </c>
      <c r="E24" s="12">
        <v>2100</v>
      </c>
      <c r="F24">
        <v>0</v>
      </c>
      <c r="G24" t="s">
        <v>340</v>
      </c>
    </row>
    <row r="25" spans="1:7">
      <c r="A25" t="s">
        <v>67</v>
      </c>
      <c r="B25" t="s">
        <v>68</v>
      </c>
      <c r="C25" t="s">
        <v>175</v>
      </c>
      <c r="D25" s="1">
        <v>45353</v>
      </c>
      <c r="E25" s="12">
        <v>1650</v>
      </c>
      <c r="F25">
        <v>0</v>
      </c>
      <c r="G25" t="s">
        <v>340</v>
      </c>
    </row>
    <row r="26" spans="1:7">
      <c r="A26" t="s">
        <v>69</v>
      </c>
      <c r="B26" t="s">
        <v>70</v>
      </c>
      <c r="C26" t="s">
        <v>178</v>
      </c>
      <c r="D26" s="1">
        <v>45371</v>
      </c>
      <c r="E26" s="12">
        <v>2900</v>
      </c>
      <c r="F26">
        <v>0</v>
      </c>
      <c r="G26" t="s">
        <v>340</v>
      </c>
    </row>
    <row r="27" spans="1:7">
      <c r="A27" t="s">
        <v>73</v>
      </c>
      <c r="B27" t="s">
        <v>74</v>
      </c>
      <c r="C27" t="s">
        <v>183</v>
      </c>
      <c r="D27" s="1">
        <v>45376</v>
      </c>
      <c r="E27" s="12">
        <v>2600</v>
      </c>
      <c r="F27">
        <v>0</v>
      </c>
      <c r="G27" t="s">
        <v>340</v>
      </c>
    </row>
    <row r="28" spans="1:7">
      <c r="A28" t="s">
        <v>75</v>
      </c>
      <c r="B28" t="s">
        <v>76</v>
      </c>
      <c r="C28" t="s">
        <v>185</v>
      </c>
      <c r="D28" s="1">
        <v>45363</v>
      </c>
      <c r="E28" s="12">
        <v>2200</v>
      </c>
      <c r="F28">
        <v>0</v>
      </c>
      <c r="G28" t="s">
        <v>340</v>
      </c>
    </row>
    <row r="29" spans="1:7">
      <c r="A29" t="s">
        <v>77</v>
      </c>
      <c r="B29" t="s">
        <v>78</v>
      </c>
      <c r="C29" t="s">
        <v>186</v>
      </c>
      <c r="D29" s="1">
        <v>45394</v>
      </c>
      <c r="E29" s="12">
        <v>3800</v>
      </c>
      <c r="F29">
        <v>0</v>
      </c>
      <c r="G29" t="s">
        <v>340</v>
      </c>
    </row>
    <row r="30" spans="1:7">
      <c r="A30" t="s">
        <v>51</v>
      </c>
      <c r="B30" t="s">
        <v>52</v>
      </c>
      <c r="C30" t="s">
        <v>188</v>
      </c>
      <c r="D30" s="1">
        <v>45366</v>
      </c>
      <c r="E30" s="12">
        <v>3600</v>
      </c>
      <c r="F30">
        <v>0</v>
      </c>
      <c r="G30" t="s">
        <v>340</v>
      </c>
    </row>
    <row r="31" spans="1:7">
      <c r="A31" t="s">
        <v>53</v>
      </c>
      <c r="B31" t="s">
        <v>54</v>
      </c>
      <c r="C31" t="s">
        <v>190</v>
      </c>
      <c r="D31" s="1">
        <v>45383</v>
      </c>
      <c r="E31" s="12">
        <v>1750</v>
      </c>
      <c r="F31">
        <v>0</v>
      </c>
      <c r="G31" t="s">
        <v>340</v>
      </c>
    </row>
    <row r="32" spans="1:7">
      <c r="A32" t="s">
        <v>57</v>
      </c>
      <c r="B32" t="s">
        <v>58</v>
      </c>
      <c r="C32" t="s">
        <v>194</v>
      </c>
      <c r="D32" s="1">
        <v>45402</v>
      </c>
      <c r="E32" s="12">
        <v>4600</v>
      </c>
      <c r="F32">
        <v>0</v>
      </c>
      <c r="G32" t="s">
        <v>340</v>
      </c>
    </row>
    <row r="33" spans="1:7">
      <c r="A33" t="s">
        <v>61</v>
      </c>
      <c r="B33" t="s">
        <v>62</v>
      </c>
      <c r="C33" t="s">
        <v>198</v>
      </c>
      <c r="D33" s="1">
        <v>45391</v>
      </c>
      <c r="E33" s="12">
        <v>2450</v>
      </c>
      <c r="F33">
        <v>0</v>
      </c>
      <c r="G33" t="s">
        <v>340</v>
      </c>
    </row>
    <row r="34" spans="1:7">
      <c r="A34" t="s">
        <v>63</v>
      </c>
      <c r="B34" t="s">
        <v>64</v>
      </c>
      <c r="C34" t="s">
        <v>200</v>
      </c>
      <c r="D34" s="1">
        <v>45327</v>
      </c>
      <c r="E34" s="12">
        <v>2850</v>
      </c>
      <c r="F34">
        <v>19</v>
      </c>
      <c r="G34" t="s">
        <v>339</v>
      </c>
    </row>
    <row r="35" spans="1:7">
      <c r="A35" t="s">
        <v>65</v>
      </c>
      <c r="B35" t="s">
        <v>66</v>
      </c>
      <c r="C35" t="s">
        <v>202</v>
      </c>
      <c r="D35" s="1">
        <v>45359</v>
      </c>
      <c r="E35" s="12">
        <v>3000</v>
      </c>
      <c r="F35">
        <v>0</v>
      </c>
      <c r="G35" t="s">
        <v>340</v>
      </c>
    </row>
    <row r="36" spans="1:7">
      <c r="A36" t="s">
        <v>69</v>
      </c>
      <c r="B36" t="s">
        <v>70</v>
      </c>
      <c r="C36" t="s">
        <v>206</v>
      </c>
      <c r="D36" s="1">
        <v>45348</v>
      </c>
      <c r="E36" s="12">
        <v>3400</v>
      </c>
      <c r="F36">
        <v>0</v>
      </c>
      <c r="G36" t="s">
        <v>340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3A96-D98B-41FB-82E7-77D20EFAAC56}">
  <dimension ref="A1:B12"/>
  <sheetViews>
    <sheetView workbookViewId="0">
      <selection activeCell="B9" sqref="B9"/>
    </sheetView>
  </sheetViews>
  <sheetFormatPr defaultRowHeight="15"/>
  <cols>
    <col min="1" max="1" width="29.7109375" bestFit="1" customWidth="1"/>
    <col min="2" max="2" width="10.85546875" bestFit="1" customWidth="1"/>
  </cols>
  <sheetData>
    <row r="1" spans="1:2" ht="15.75">
      <c r="A1" s="3" t="s">
        <v>341</v>
      </c>
    </row>
    <row r="3" spans="1:2">
      <c r="A3" s="6" t="s">
        <v>342</v>
      </c>
      <c r="B3" s="9">
        <f>COUNTA(Invoices!A:A)-1</f>
        <v>110</v>
      </c>
    </row>
    <row r="4" spans="1:2">
      <c r="A4" s="7" t="s">
        <v>343</v>
      </c>
      <c r="B4" s="10">
        <f>SUM(Invoices!E:E)</f>
        <v>293025</v>
      </c>
    </row>
    <row r="5" spans="1:2">
      <c r="A5" s="7" t="s">
        <v>344</v>
      </c>
      <c r="B5" s="10">
        <f>SUM(Invoices!J:J)</f>
        <v>109300</v>
      </c>
    </row>
    <row r="6" spans="1:2">
      <c r="A6" s="7" t="s">
        <v>345</v>
      </c>
      <c r="B6" s="10">
        <f>SUM(Invoices!K:K)</f>
        <v>183725</v>
      </c>
    </row>
    <row r="7" spans="1:2">
      <c r="A7" s="7" t="s">
        <v>346</v>
      </c>
      <c r="B7" s="10">
        <f>COUNTIF(Invoices!G:G,"Open")</f>
        <v>50</v>
      </c>
    </row>
    <row r="8" spans="1:2">
      <c r="A8" s="7" t="s">
        <v>347</v>
      </c>
      <c r="B8" s="10">
        <f>COUNTIF(Invoices!G:G,"Partially Paid")</f>
        <v>29</v>
      </c>
    </row>
    <row r="9" spans="1:2">
      <c r="A9" s="7" t="s">
        <v>348</v>
      </c>
      <c r="B9" s="10">
        <f>COUNTIF(Invoices!G:G,"Closed")</f>
        <v>31</v>
      </c>
    </row>
    <row r="10" spans="1:2">
      <c r="A10" s="7"/>
      <c r="B10" s="10"/>
    </row>
    <row r="11" spans="1:2">
      <c r="A11" s="7" t="s">
        <v>349</v>
      </c>
      <c r="B11" s="10">
        <f>SUM(AP_Aging!E:E)</f>
        <v>87475</v>
      </c>
    </row>
    <row r="12" spans="1:2">
      <c r="A12" s="8" t="s">
        <v>350</v>
      </c>
      <c r="B12" s="11">
        <f>SUM(AR_Aging!E:E)</f>
        <v>96250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B41A-4976-40B4-8269-B6B5B87ECDB6}">
  <dimension ref="A1:B16"/>
  <sheetViews>
    <sheetView workbookViewId="0">
      <selection activeCell="E20" sqref="E20"/>
    </sheetView>
  </sheetViews>
  <sheetFormatPr defaultRowHeight="15"/>
  <cols>
    <col min="1" max="1" width="24" bestFit="1" customWidth="1"/>
    <col min="2" max="2" width="198.85546875" bestFit="1" customWidth="1"/>
  </cols>
  <sheetData>
    <row r="1" spans="1:2">
      <c r="A1" s="2" t="s">
        <v>351</v>
      </c>
      <c r="B1" s="2" t="s">
        <v>352</v>
      </c>
    </row>
    <row r="2" spans="1:2">
      <c r="A2" t="s">
        <v>353</v>
      </c>
      <c r="B2" t="s">
        <v>354</v>
      </c>
    </row>
    <row r="3" spans="1:2">
      <c r="A3" t="s">
        <v>355</v>
      </c>
      <c r="B3" t="s">
        <v>356</v>
      </c>
    </row>
    <row r="4" spans="1:2">
      <c r="A4" t="s">
        <v>357</v>
      </c>
      <c r="B4" t="s">
        <v>358</v>
      </c>
    </row>
    <row r="5" spans="1:2">
      <c r="A5" t="s">
        <v>359</v>
      </c>
      <c r="B5" t="s">
        <v>360</v>
      </c>
    </row>
    <row r="6" spans="1:2">
      <c r="A6" t="s">
        <v>361</v>
      </c>
      <c r="B6">
        <v>2024</v>
      </c>
    </row>
    <row r="7" spans="1:2">
      <c r="A7" t="s">
        <v>362</v>
      </c>
      <c r="B7" s="1">
        <v>45346</v>
      </c>
    </row>
    <row r="8" spans="1:2">
      <c r="A8" t="s">
        <v>363</v>
      </c>
      <c r="B8" s="13">
        <v>46082</v>
      </c>
    </row>
    <row r="9" spans="1:2">
      <c r="A9" t="s">
        <v>364</v>
      </c>
      <c r="B9" t="s">
        <v>365</v>
      </c>
    </row>
    <row r="10" spans="1:2">
      <c r="A10" t="s">
        <v>366</v>
      </c>
      <c r="B10" t="s">
        <v>367</v>
      </c>
    </row>
    <row r="11" spans="1:2">
      <c r="A11" t="s">
        <v>368</v>
      </c>
      <c r="B11" t="s">
        <v>369</v>
      </c>
    </row>
    <row r="12" spans="1:2">
      <c r="A12" t="s">
        <v>370</v>
      </c>
      <c r="B12" t="s">
        <v>371</v>
      </c>
    </row>
    <row r="13" spans="1:2">
      <c r="A13" t="s">
        <v>372</v>
      </c>
      <c r="B13" t="s">
        <v>373</v>
      </c>
    </row>
    <row r="14" spans="1:2">
      <c r="A14" t="s">
        <v>374</v>
      </c>
      <c r="B14" t="s">
        <v>375</v>
      </c>
    </row>
    <row r="15" spans="1:2">
      <c r="A15" t="s">
        <v>376</v>
      </c>
      <c r="B15" t="s">
        <v>377</v>
      </c>
    </row>
    <row r="16" spans="1:2">
      <c r="A16" t="s">
        <v>378</v>
      </c>
      <c r="B16" t="s">
        <v>379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E543-C600-4C36-82CE-1A79C9F9EEB9}">
  <dimension ref="A1:C17"/>
  <sheetViews>
    <sheetView workbookViewId="0">
      <selection activeCell="J41" sqref="J41"/>
    </sheetView>
  </sheetViews>
  <sheetFormatPr defaultRowHeight="15"/>
  <cols>
    <col min="1" max="1" width="36.7109375" bestFit="1" customWidth="1"/>
    <col min="2" max="2" width="86.42578125" bestFit="1" customWidth="1"/>
    <col min="3" max="3" width="32.28515625" bestFit="1" customWidth="1"/>
  </cols>
  <sheetData>
    <row r="1" spans="1:3">
      <c r="A1" s="2" t="s">
        <v>380</v>
      </c>
      <c r="B1" s="2" t="s">
        <v>381</v>
      </c>
      <c r="C1" s="2" t="s">
        <v>85</v>
      </c>
    </row>
    <row r="2" spans="1:3">
      <c r="A2" t="s">
        <v>382</v>
      </c>
      <c r="B2" s="14">
        <f>COUNTA(Invoices!A:A)-1</f>
        <v>110</v>
      </c>
      <c r="C2" s="14" t="str">
        <f>IF(B2=110,"PASS","FAIL")</f>
        <v>PASS</v>
      </c>
    </row>
    <row r="3" spans="1:3">
      <c r="A3" t="s">
        <v>383</v>
      </c>
      <c r="B3" s="14">
        <f>COUNTA(Suppliers!A:A)-1</f>
        <v>18</v>
      </c>
      <c r="C3" s="14" t="str">
        <f>IF(B3=18,"PASS","FAIL")</f>
        <v>PASS</v>
      </c>
    </row>
    <row r="4" spans="1:3">
      <c r="A4" t="s">
        <v>384</v>
      </c>
      <c r="B4" s="14">
        <f>COUNTA(Customers!A:A)-1</f>
        <v>14</v>
      </c>
      <c r="C4" s="14" t="str">
        <f>IF(B4=14,"PASS","FAIL")</f>
        <v>PASS</v>
      </c>
    </row>
    <row r="5" spans="1:3">
      <c r="A5" t="s">
        <v>385</v>
      </c>
      <c r="B5" s="14">
        <f>COUNTA(Payments!A:A)-1</f>
        <v>60</v>
      </c>
      <c r="C5" s="14" t="str">
        <f>IF(B5=60,"PASS","FAIL")</f>
        <v>PASS</v>
      </c>
    </row>
    <row r="6" spans="1:3">
      <c r="A6" t="s">
        <v>386</v>
      </c>
      <c r="B6" s="14">
        <f>SUM(Invoices!E:E)-SUM(Invoices!J:J)-SUM(Invoices!K:K)</f>
        <v>0</v>
      </c>
      <c r="C6" s="14" t="str">
        <f>IF(ROUND(B6,2)=0,"PASS","FAIL")</f>
        <v>PASS</v>
      </c>
    </row>
    <row r="7" spans="1:3">
      <c r="A7" t="s">
        <v>387</v>
      </c>
      <c r="B7" s="14">
        <f>SUM(AP_Aging!E:E)-SUMIFS(Invoices!K:K,Invoices!C:C,"AP")</f>
        <v>0</v>
      </c>
      <c r="C7" s="14" t="str">
        <f>IF(ROUND(B7,2)=0,"PASS","FAIL")</f>
        <v>PASS</v>
      </c>
    </row>
    <row r="8" spans="1:3">
      <c r="A8" t="s">
        <v>388</v>
      </c>
      <c r="B8" s="14">
        <f>SUM(AR_Aging!E:E)-SUMIFS(Invoices!K:K,Invoices!C:C,"AR")</f>
        <v>0</v>
      </c>
      <c r="C8" s="14" t="str">
        <f>IF(ROUND(B8,2)=0,"PASS","FAIL")</f>
        <v>PASS</v>
      </c>
    </row>
    <row r="9" spans="1:3">
      <c r="A9" t="s">
        <v>389</v>
      </c>
      <c r="B9" s="14">
        <f>SUM(AP_Aging!E:E)+SUM(AR_Aging!E:E)-SUM(Invoices!K:K)</f>
        <v>0</v>
      </c>
      <c r="C9" s="14" t="str">
        <f>IF(ROUND(B9,2)=0,"PASS","FAIL")</f>
        <v>PASS</v>
      </c>
    </row>
    <row r="10" spans="1:3">
      <c r="A10" t="s">
        <v>390</v>
      </c>
      <c r="B10" s="14" cm="1">
        <f t="array" ref="B10">LOOKUP(2,1/(Cashbook!F:F&lt;&gt;""),Cashbook!F:F)</f>
        <v>23600</v>
      </c>
      <c r="C10" s="14" t="str">
        <f>IF(B10=23600,"PASS","FAIL")</f>
        <v>PASS</v>
      </c>
    </row>
    <row r="11" spans="1:3">
      <c r="A11" t="s">
        <v>391</v>
      </c>
      <c r="B11" s="14">
        <f>COUNTIF(Invoices!K:K,"&lt;0")</f>
        <v>0</v>
      </c>
      <c r="C11" s="14" t="str">
        <f>IF(B11=0,"PASS","FAIL")</f>
        <v>PASS</v>
      </c>
    </row>
    <row r="12" spans="1:3">
      <c r="A12" t="s">
        <v>392</v>
      </c>
      <c r="B12" s="14">
        <f>COUNTBLANK(Invoices!D:D)-COUNTBLANK(Invoices!A:A)</f>
        <v>0</v>
      </c>
      <c r="C12" s="14" t="str">
        <f>IF(B12=0,"PASS","FAIL")</f>
        <v>PASS</v>
      </c>
    </row>
    <row r="13" spans="1:3">
      <c r="A13" t="s">
        <v>393</v>
      </c>
      <c r="B13" s="14">
        <f>COUNTA(Invoices!A2:A111)-COUNTA(_xlfn.UNIQUE(Invoices!A2:A111))</f>
        <v>0</v>
      </c>
      <c r="C13" s="14" t="str">
        <f>IF(B13=0,"PASS","FAIL")</f>
        <v>PASS</v>
      </c>
    </row>
    <row r="14" spans="1:3">
      <c r="A14" t="s">
        <v>394</v>
      </c>
      <c r="B14" s="14">
        <f>SUM(Journal_Entries!E:E)-SUM(Journal_Entries!F:F)</f>
        <v>0</v>
      </c>
      <c r="C14" s="14" t="str">
        <f>IF(ROUND(B14,2)=0,"PASS","FAIL")</f>
        <v>PASS</v>
      </c>
    </row>
    <row r="15" spans="1:3">
      <c r="A15" t="s">
        <v>395</v>
      </c>
      <c r="B15" s="16">
        <f>SUM(Accruals_Schedule!F2:F6)</f>
        <v>11200</v>
      </c>
      <c r="C15" s="14" t="str">
        <f>IF(B15=11200,"PASS","FAIL")</f>
        <v>PASS</v>
      </c>
    </row>
    <row r="16" spans="1:3">
      <c r="A16" t="s">
        <v>396</v>
      </c>
      <c r="B16" s="14">
        <f>SUM(Prepayments_Schedule!I2:I6)</f>
        <v>3300</v>
      </c>
      <c r="C16" s="14" t="str">
        <f>IF(B16=3300,"PASS","FAIL")</f>
        <v>PASS</v>
      </c>
    </row>
    <row r="17" spans="1:3">
      <c r="A17" t="s">
        <v>397</v>
      </c>
      <c r="B17" s="14">
        <f>SUM(Prepayments_Schedule!J2:J6)</f>
        <v>19700</v>
      </c>
      <c r="C17" s="14" t="str">
        <f>IF(B17=19700,"PASS","FAIL")</f>
        <v>PASS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8663-F5A0-4CC6-B5A4-47C870D20B25}">
  <dimension ref="A1:K13"/>
  <sheetViews>
    <sheetView workbookViewId="0">
      <selection activeCell="G25" sqref="G25"/>
    </sheetView>
  </sheetViews>
  <sheetFormatPr defaultRowHeight="15"/>
  <cols>
    <col min="1" max="1" width="10.5703125" bestFit="1" customWidth="1"/>
    <col min="2" max="2" width="10" bestFit="1" customWidth="1"/>
    <col min="3" max="3" width="24.140625" bestFit="1" customWidth="1"/>
    <col min="4" max="4" width="29.5703125" bestFit="1" customWidth="1"/>
    <col min="5" max="6" width="7.7109375" bestFit="1" customWidth="1"/>
    <col min="7" max="7" width="91.28515625" bestFit="1" customWidth="1"/>
    <col min="8" max="8" width="21.28515625" bestFit="1" customWidth="1"/>
    <col min="10" max="10" width="20.42578125" bestFit="1" customWidth="1"/>
    <col min="11" max="11" width="32.140625" bestFit="1" customWidth="1"/>
  </cols>
  <sheetData>
    <row r="1" spans="1:11">
      <c r="A1" s="2" t="s">
        <v>398</v>
      </c>
      <c r="B1" s="2" t="s">
        <v>80</v>
      </c>
      <c r="C1" s="2" t="s">
        <v>399</v>
      </c>
      <c r="D1" s="2" t="s">
        <v>400</v>
      </c>
      <c r="E1" s="2" t="s">
        <v>272</v>
      </c>
      <c r="F1" s="2" t="s">
        <v>273</v>
      </c>
      <c r="G1" s="2" t="s">
        <v>271</v>
      </c>
      <c r="H1" s="2" t="s">
        <v>401</v>
      </c>
      <c r="J1" s="2" t="s">
        <v>402</v>
      </c>
      <c r="K1" s="2" t="s">
        <v>403</v>
      </c>
    </row>
    <row r="2" spans="1:11">
      <c r="A2" t="s">
        <v>404</v>
      </c>
      <c r="B2" s="1">
        <v>45346</v>
      </c>
      <c r="C2" t="s">
        <v>405</v>
      </c>
      <c r="D2" t="s">
        <v>406</v>
      </c>
      <c r="E2">
        <v>132825</v>
      </c>
      <c r="F2">
        <v>0</v>
      </c>
      <c r="G2" t="s">
        <v>407</v>
      </c>
      <c r="H2" t="s">
        <v>408</v>
      </c>
      <c r="J2" t="s">
        <v>409</v>
      </c>
      <c r="K2">
        <f>SUM(E:E)</f>
        <v>416825</v>
      </c>
    </row>
    <row r="3" spans="1:11">
      <c r="A3" t="s">
        <v>404</v>
      </c>
      <c r="B3" s="1">
        <v>45346</v>
      </c>
      <c r="C3" t="s">
        <v>405</v>
      </c>
      <c r="D3" t="s">
        <v>410</v>
      </c>
      <c r="E3">
        <v>0</v>
      </c>
      <c r="F3">
        <v>132825</v>
      </c>
      <c r="G3" t="s">
        <v>407</v>
      </c>
      <c r="H3" t="s">
        <v>408</v>
      </c>
      <c r="J3" t="s">
        <v>411</v>
      </c>
      <c r="K3">
        <f>SUM(F:F)</f>
        <v>416825</v>
      </c>
    </row>
    <row r="4" spans="1:11">
      <c r="A4" t="s">
        <v>412</v>
      </c>
      <c r="B4" s="1">
        <v>45346</v>
      </c>
      <c r="C4" t="s">
        <v>413</v>
      </c>
      <c r="D4" t="s">
        <v>414</v>
      </c>
      <c r="E4">
        <v>160200</v>
      </c>
      <c r="F4">
        <v>0</v>
      </c>
      <c r="G4" t="s">
        <v>415</v>
      </c>
      <c r="H4" t="s">
        <v>416</v>
      </c>
      <c r="J4" t="s">
        <v>417</v>
      </c>
      <c r="K4" s="14">
        <f>K2-K3</f>
        <v>0</v>
      </c>
    </row>
    <row r="5" spans="1:11">
      <c r="A5" t="s">
        <v>412</v>
      </c>
      <c r="B5" s="1">
        <v>45346</v>
      </c>
      <c r="C5" t="s">
        <v>413</v>
      </c>
      <c r="D5" t="s">
        <v>418</v>
      </c>
      <c r="E5">
        <v>0</v>
      </c>
      <c r="F5">
        <v>160200</v>
      </c>
      <c r="G5" t="s">
        <v>415</v>
      </c>
      <c r="H5" t="s">
        <v>416</v>
      </c>
      <c r="J5" t="s">
        <v>85</v>
      </c>
      <c r="K5" t="str">
        <f>IF(ROUND(K4,2)=0,"PASS","FAIL")</f>
        <v>PASS</v>
      </c>
    </row>
    <row r="6" spans="1:11">
      <c r="A6" t="s">
        <v>419</v>
      </c>
      <c r="B6" s="1">
        <v>45346</v>
      </c>
      <c r="C6" t="s">
        <v>420</v>
      </c>
      <c r="D6" t="s">
        <v>410</v>
      </c>
      <c r="E6">
        <v>45350</v>
      </c>
      <c r="F6">
        <v>0</v>
      </c>
      <c r="G6" t="s">
        <v>421</v>
      </c>
      <c r="H6" t="s">
        <v>422</v>
      </c>
      <c r="K6" s="14"/>
    </row>
    <row r="7" spans="1:11">
      <c r="A7" t="s">
        <v>419</v>
      </c>
      <c r="B7" s="1">
        <v>45346</v>
      </c>
      <c r="C7" t="s">
        <v>420</v>
      </c>
      <c r="D7" t="s">
        <v>211</v>
      </c>
      <c r="E7">
        <v>0</v>
      </c>
      <c r="F7">
        <v>45350</v>
      </c>
      <c r="G7" t="s">
        <v>421</v>
      </c>
      <c r="H7" t="s">
        <v>422</v>
      </c>
    </row>
    <row r="8" spans="1:11">
      <c r="A8" t="s">
        <v>423</v>
      </c>
      <c r="B8" s="1">
        <v>45346</v>
      </c>
      <c r="C8" t="s">
        <v>424</v>
      </c>
      <c r="D8" t="s">
        <v>211</v>
      </c>
      <c r="E8">
        <v>63950</v>
      </c>
      <c r="F8">
        <v>0</v>
      </c>
      <c r="G8" t="s">
        <v>425</v>
      </c>
      <c r="H8" t="s">
        <v>422</v>
      </c>
      <c r="K8" s="14"/>
    </row>
    <row r="9" spans="1:11">
      <c r="A9" t="s">
        <v>423</v>
      </c>
      <c r="B9" s="1">
        <v>45346</v>
      </c>
      <c r="C9" t="s">
        <v>424</v>
      </c>
      <c r="D9" t="s">
        <v>414</v>
      </c>
      <c r="E9">
        <v>0</v>
      </c>
      <c r="F9">
        <v>63950</v>
      </c>
      <c r="G9" t="s">
        <v>425</v>
      </c>
      <c r="H9" t="s">
        <v>422</v>
      </c>
    </row>
    <row r="10" spans="1:11">
      <c r="A10" t="s">
        <v>426</v>
      </c>
      <c r="B10" s="1">
        <v>45346</v>
      </c>
      <c r="C10" t="s">
        <v>427</v>
      </c>
      <c r="D10" t="s">
        <v>428</v>
      </c>
      <c r="E10">
        <v>11200</v>
      </c>
      <c r="F10">
        <v>0</v>
      </c>
      <c r="G10" t="s">
        <v>429</v>
      </c>
      <c r="H10" t="s">
        <v>430</v>
      </c>
    </row>
    <row r="11" spans="1:11">
      <c r="A11" t="s">
        <v>426</v>
      </c>
      <c r="B11" s="1">
        <v>45346</v>
      </c>
      <c r="C11" t="s">
        <v>427</v>
      </c>
      <c r="D11" t="s">
        <v>431</v>
      </c>
      <c r="E11">
        <v>0</v>
      </c>
      <c r="F11">
        <v>11200</v>
      </c>
      <c r="G11" t="s">
        <v>429</v>
      </c>
      <c r="H11" t="s">
        <v>430</v>
      </c>
    </row>
    <row r="12" spans="1:11">
      <c r="A12" t="s">
        <v>432</v>
      </c>
      <c r="B12" s="1">
        <v>45346</v>
      </c>
      <c r="C12" t="s">
        <v>433</v>
      </c>
      <c r="D12" t="s">
        <v>428</v>
      </c>
      <c r="E12">
        <v>3300</v>
      </c>
      <c r="F12">
        <v>0</v>
      </c>
      <c r="G12" t="s">
        <v>434</v>
      </c>
      <c r="H12" t="s">
        <v>435</v>
      </c>
    </row>
    <row r="13" spans="1:11">
      <c r="A13" t="s">
        <v>432</v>
      </c>
      <c r="B13" s="1">
        <v>45346</v>
      </c>
      <c r="C13" t="s">
        <v>433</v>
      </c>
      <c r="D13" t="s">
        <v>436</v>
      </c>
      <c r="E13">
        <v>0</v>
      </c>
      <c r="F13">
        <v>3300</v>
      </c>
      <c r="G13" t="s">
        <v>434</v>
      </c>
      <c r="H13" t="s">
        <v>435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8006-CE79-416B-9F65-EF8AC4B28CDD}">
  <dimension ref="A1:I8"/>
  <sheetViews>
    <sheetView workbookViewId="0">
      <selection activeCell="J33" sqref="J33"/>
    </sheetView>
  </sheetViews>
  <sheetFormatPr defaultRowHeight="15"/>
  <cols>
    <col min="1" max="1" width="10.7109375" bestFit="1" customWidth="1"/>
    <col min="2" max="2" width="11.42578125" bestFit="1" customWidth="1"/>
    <col min="3" max="3" width="24.5703125" bestFit="1" customWidth="1"/>
    <col min="4" max="4" width="16.42578125" bestFit="1" customWidth="1"/>
    <col min="5" max="5" width="13.42578125" bestFit="1" customWidth="1"/>
    <col min="6" max="6" width="16.85546875" bestFit="1" customWidth="1"/>
    <col min="7" max="7" width="10.5703125" bestFit="1" customWidth="1"/>
    <col min="8" max="8" width="14.140625" bestFit="1" customWidth="1"/>
  </cols>
  <sheetData>
    <row r="1" spans="1:9">
      <c r="A1" s="2" t="s">
        <v>437</v>
      </c>
      <c r="B1" s="2" t="s">
        <v>0</v>
      </c>
      <c r="C1" s="2" t="s">
        <v>1</v>
      </c>
      <c r="D1" s="2" t="s">
        <v>438</v>
      </c>
      <c r="E1" s="2" t="s">
        <v>439</v>
      </c>
      <c r="F1" s="2" t="s">
        <v>440</v>
      </c>
      <c r="G1" s="2" t="s">
        <v>398</v>
      </c>
      <c r="H1" s="2" t="s">
        <v>441</v>
      </c>
      <c r="I1" s="2" t="s">
        <v>85</v>
      </c>
    </row>
    <row r="2" spans="1:9">
      <c r="A2" t="s">
        <v>442</v>
      </c>
      <c r="B2" t="s">
        <v>31</v>
      </c>
      <c r="C2" t="s">
        <v>32</v>
      </c>
      <c r="D2" t="s">
        <v>443</v>
      </c>
      <c r="E2" s="15">
        <v>46077</v>
      </c>
      <c r="F2" s="12">
        <v>2200</v>
      </c>
      <c r="G2" t="s">
        <v>426</v>
      </c>
      <c r="H2" s="1">
        <v>45352</v>
      </c>
      <c r="I2" t="s">
        <v>105</v>
      </c>
    </row>
    <row r="3" spans="1:9">
      <c r="A3" t="s">
        <v>444</v>
      </c>
      <c r="B3" t="s">
        <v>42</v>
      </c>
      <c r="C3" t="s">
        <v>43</v>
      </c>
      <c r="D3" t="s">
        <v>445</v>
      </c>
      <c r="E3" s="15">
        <v>46077</v>
      </c>
      <c r="F3" s="12">
        <v>3500</v>
      </c>
      <c r="G3" t="s">
        <v>426</v>
      </c>
      <c r="H3" s="1">
        <v>45352</v>
      </c>
      <c r="I3" t="s">
        <v>105</v>
      </c>
    </row>
    <row r="4" spans="1:9">
      <c r="A4" t="s">
        <v>446</v>
      </c>
      <c r="B4" t="s">
        <v>38</v>
      </c>
      <c r="C4" t="s">
        <v>39</v>
      </c>
      <c r="D4" t="s">
        <v>447</v>
      </c>
      <c r="E4" s="15">
        <v>46077</v>
      </c>
      <c r="F4">
        <v>950</v>
      </c>
      <c r="G4" t="s">
        <v>426</v>
      </c>
      <c r="H4" s="1">
        <v>45352</v>
      </c>
      <c r="I4" t="s">
        <v>105</v>
      </c>
    </row>
    <row r="5" spans="1:9">
      <c r="A5" t="s">
        <v>448</v>
      </c>
      <c r="B5" t="s">
        <v>46</v>
      </c>
      <c r="C5" t="s">
        <v>47</v>
      </c>
      <c r="D5" t="s">
        <v>449</v>
      </c>
      <c r="E5" s="15">
        <v>46077</v>
      </c>
      <c r="F5" s="12">
        <v>1800</v>
      </c>
      <c r="G5" t="s">
        <v>426</v>
      </c>
      <c r="H5" s="1">
        <v>45352</v>
      </c>
      <c r="I5" t="s">
        <v>105</v>
      </c>
    </row>
    <row r="6" spans="1:9">
      <c r="A6" t="s">
        <v>450</v>
      </c>
      <c r="B6" t="s">
        <v>36</v>
      </c>
      <c r="C6" t="s">
        <v>37</v>
      </c>
      <c r="D6" t="s">
        <v>451</v>
      </c>
      <c r="E6" s="15">
        <v>46077</v>
      </c>
      <c r="F6" s="12">
        <v>2750</v>
      </c>
      <c r="G6" t="s">
        <v>426</v>
      </c>
      <c r="H6" s="1">
        <v>45352</v>
      </c>
      <c r="I6" t="s">
        <v>105</v>
      </c>
    </row>
    <row r="8" spans="1:9">
      <c r="E8" t="s">
        <v>452</v>
      </c>
      <c r="F8" s="12">
        <f>SUM(F2:F6)</f>
        <v>11200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7D4D-40B2-44B8-AD92-EA3EC1D602AF}">
  <dimension ref="A1:L9"/>
  <sheetViews>
    <sheetView workbookViewId="0">
      <selection activeCell="J22" sqref="J22"/>
    </sheetView>
  </sheetViews>
  <sheetFormatPr defaultRowHeight="15"/>
  <cols>
    <col min="1" max="1" width="15.140625" bestFit="1" customWidth="1"/>
    <col min="2" max="2" width="11.42578125" bestFit="1" customWidth="1"/>
    <col min="3" max="3" width="24.5703125" bestFit="1" customWidth="1"/>
    <col min="4" max="4" width="27.85546875" bestFit="1" customWidth="1"/>
    <col min="5" max="5" width="10.7109375" bestFit="1" customWidth="1"/>
    <col min="6" max="6" width="10.5703125" bestFit="1" customWidth="1"/>
    <col min="7" max="7" width="13.7109375" bestFit="1" customWidth="1"/>
    <col min="8" max="8" width="19.28515625" bestFit="1" customWidth="1"/>
    <col min="9" max="9" width="23" bestFit="1" customWidth="1"/>
    <col min="10" max="10" width="18.85546875" bestFit="1" customWidth="1"/>
    <col min="11" max="11" width="10.5703125" bestFit="1" customWidth="1"/>
  </cols>
  <sheetData>
    <row r="1" spans="1:12">
      <c r="A1" s="2" t="s">
        <v>453</v>
      </c>
      <c r="B1" s="2" t="s">
        <v>0</v>
      </c>
      <c r="C1" s="2" t="s">
        <v>1</v>
      </c>
      <c r="D1" s="2" t="s">
        <v>271</v>
      </c>
      <c r="E1" s="2" t="s">
        <v>454</v>
      </c>
      <c r="F1" s="2" t="s">
        <v>455</v>
      </c>
      <c r="G1" s="2" t="s">
        <v>456</v>
      </c>
      <c r="H1" s="2" t="s">
        <v>457</v>
      </c>
      <c r="I1" s="2" t="s">
        <v>458</v>
      </c>
      <c r="J1" s="2" t="s">
        <v>459</v>
      </c>
      <c r="K1" s="2" t="s">
        <v>398</v>
      </c>
      <c r="L1" s="2" t="s">
        <v>85</v>
      </c>
    </row>
    <row r="2" spans="1:12">
      <c r="A2" t="s">
        <v>460</v>
      </c>
      <c r="B2" t="s">
        <v>40</v>
      </c>
      <c r="C2" t="s">
        <v>41</v>
      </c>
      <c r="D2" t="s">
        <v>461</v>
      </c>
      <c r="E2" s="1">
        <v>45323</v>
      </c>
      <c r="F2" s="1">
        <v>45688</v>
      </c>
      <c r="G2">
        <v>7200</v>
      </c>
      <c r="H2">
        <v>600</v>
      </c>
      <c r="I2">
        <v>600</v>
      </c>
      <c r="J2">
        <v>6600</v>
      </c>
      <c r="K2" t="s">
        <v>432</v>
      </c>
      <c r="L2" t="s">
        <v>462</v>
      </c>
    </row>
    <row r="3" spans="1:12">
      <c r="A3" t="s">
        <v>463</v>
      </c>
      <c r="B3" t="s">
        <v>33</v>
      </c>
      <c r="C3" t="s">
        <v>34</v>
      </c>
      <c r="D3" t="s">
        <v>464</v>
      </c>
      <c r="E3" s="1">
        <v>45323</v>
      </c>
      <c r="F3" s="1">
        <v>45688</v>
      </c>
      <c r="G3">
        <v>6000</v>
      </c>
      <c r="H3">
        <v>500</v>
      </c>
      <c r="I3">
        <v>500</v>
      </c>
      <c r="J3">
        <v>5500</v>
      </c>
      <c r="K3" t="s">
        <v>432</v>
      </c>
      <c r="L3" t="s">
        <v>462</v>
      </c>
    </row>
    <row r="4" spans="1:12">
      <c r="A4" t="s">
        <v>465</v>
      </c>
      <c r="B4" t="s">
        <v>42</v>
      </c>
      <c r="C4" t="s">
        <v>43</v>
      </c>
      <c r="D4" t="s">
        <v>466</v>
      </c>
      <c r="E4" s="1">
        <v>45323</v>
      </c>
      <c r="F4" s="1">
        <v>45504</v>
      </c>
      <c r="G4">
        <v>4800</v>
      </c>
      <c r="H4">
        <v>800</v>
      </c>
      <c r="I4">
        <v>800</v>
      </c>
      <c r="J4">
        <v>4000</v>
      </c>
      <c r="K4" t="s">
        <v>432</v>
      </c>
      <c r="L4" t="s">
        <v>462</v>
      </c>
    </row>
    <row r="5" spans="1:12">
      <c r="A5" t="s">
        <v>467</v>
      </c>
      <c r="B5" t="s">
        <v>38</v>
      </c>
      <c r="C5" t="s">
        <v>39</v>
      </c>
      <c r="D5" t="s">
        <v>468</v>
      </c>
      <c r="E5" s="1">
        <v>45323</v>
      </c>
      <c r="F5" s="1">
        <v>45412</v>
      </c>
      <c r="G5">
        <v>1800</v>
      </c>
      <c r="H5">
        <v>600</v>
      </c>
      <c r="I5">
        <v>600</v>
      </c>
      <c r="J5">
        <v>1200</v>
      </c>
      <c r="K5" t="s">
        <v>432</v>
      </c>
      <c r="L5" t="s">
        <v>462</v>
      </c>
    </row>
    <row r="6" spans="1:12">
      <c r="A6" t="s">
        <v>469</v>
      </c>
      <c r="B6" t="s">
        <v>46</v>
      </c>
      <c r="C6" t="s">
        <v>47</v>
      </c>
      <c r="D6" t="s">
        <v>470</v>
      </c>
      <c r="E6" s="1">
        <v>45323</v>
      </c>
      <c r="F6" s="1">
        <v>45443</v>
      </c>
      <c r="G6">
        <v>3200</v>
      </c>
      <c r="H6">
        <v>800</v>
      </c>
      <c r="I6">
        <v>800</v>
      </c>
      <c r="J6">
        <v>2400</v>
      </c>
      <c r="K6" t="s">
        <v>432</v>
      </c>
      <c r="L6" t="s">
        <v>462</v>
      </c>
    </row>
    <row r="8" spans="1:12">
      <c r="H8" t="s">
        <v>471</v>
      </c>
      <c r="I8">
        <f>SUM(I2:I6)</f>
        <v>3300</v>
      </c>
    </row>
    <row r="9" spans="1:12">
      <c r="I9" t="s">
        <v>472</v>
      </c>
      <c r="J9">
        <f>SUM(J2:J6)</f>
        <v>19700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BE2B-F981-4678-85F5-DB5F6267E58E}">
  <dimension ref="A1:L22"/>
  <sheetViews>
    <sheetView workbookViewId="0">
      <selection activeCell="I12" sqref="I12:K16"/>
    </sheetView>
  </sheetViews>
  <sheetFormatPr defaultRowHeight="15"/>
  <cols>
    <col min="1" max="1" width="24.5703125" bestFit="1" customWidth="1"/>
    <col min="2" max="2" width="15" bestFit="1" customWidth="1"/>
    <col min="5" max="5" width="22.85546875" bestFit="1" customWidth="1"/>
    <col min="6" max="6" width="15" bestFit="1" customWidth="1"/>
    <col min="9" max="9" width="11.7109375" bestFit="1" customWidth="1"/>
    <col min="10" max="10" width="13.42578125" bestFit="1" customWidth="1"/>
    <col min="11" max="11" width="12.7109375" bestFit="1" customWidth="1"/>
    <col min="12" max="12" width="11.7109375" bestFit="1" customWidth="1"/>
  </cols>
  <sheetData>
    <row r="1" spans="1:12">
      <c r="A1" s="17" t="s">
        <v>338</v>
      </c>
      <c r="B1" t="s">
        <v>473</v>
      </c>
      <c r="E1" s="17" t="s">
        <v>338</v>
      </c>
      <c r="F1" t="s">
        <v>473</v>
      </c>
    </row>
    <row r="3" spans="1:12">
      <c r="A3" s="17" t="s">
        <v>1</v>
      </c>
      <c r="B3" t="s">
        <v>474</v>
      </c>
      <c r="E3" s="17" t="s">
        <v>49</v>
      </c>
      <c r="F3" t="s">
        <v>475</v>
      </c>
      <c r="I3" s="17" t="s">
        <v>476</v>
      </c>
      <c r="J3" s="17" t="s">
        <v>81</v>
      </c>
    </row>
    <row r="4" spans="1:12">
      <c r="A4" t="s">
        <v>5</v>
      </c>
      <c r="B4" s="4">
        <v>1450</v>
      </c>
      <c r="E4" t="s">
        <v>52</v>
      </c>
      <c r="F4" s="12">
        <v>8200</v>
      </c>
      <c r="I4" s="17" t="s">
        <v>85</v>
      </c>
      <c r="J4" t="s">
        <v>93</v>
      </c>
      <c r="K4" t="s">
        <v>95</v>
      </c>
      <c r="L4" t="s">
        <v>477</v>
      </c>
    </row>
    <row r="5" spans="1:12">
      <c r="A5" t="s">
        <v>27</v>
      </c>
      <c r="B5" s="4">
        <v>4650</v>
      </c>
      <c r="E5" t="s">
        <v>72</v>
      </c>
      <c r="F5" s="12">
        <v>4250</v>
      </c>
      <c r="I5" t="s">
        <v>111</v>
      </c>
      <c r="J5">
        <v>16</v>
      </c>
      <c r="K5">
        <v>15</v>
      </c>
      <c r="L5">
        <v>31</v>
      </c>
    </row>
    <row r="6" spans="1:12">
      <c r="A6" t="s">
        <v>43</v>
      </c>
      <c r="B6" s="4">
        <v>2900</v>
      </c>
      <c r="E6" t="s">
        <v>60</v>
      </c>
      <c r="F6" s="12">
        <v>4400</v>
      </c>
      <c r="I6" t="s">
        <v>105</v>
      </c>
      <c r="J6">
        <v>32</v>
      </c>
      <c r="K6">
        <v>18</v>
      </c>
      <c r="L6">
        <v>50</v>
      </c>
    </row>
    <row r="7" spans="1:12">
      <c r="A7" t="s">
        <v>11</v>
      </c>
      <c r="B7" s="4">
        <v>2150</v>
      </c>
      <c r="E7" t="s">
        <v>78</v>
      </c>
      <c r="F7" s="12">
        <v>14500</v>
      </c>
      <c r="I7" t="s">
        <v>107</v>
      </c>
      <c r="J7">
        <v>12</v>
      </c>
      <c r="K7">
        <v>17</v>
      </c>
      <c r="L7">
        <v>29</v>
      </c>
    </row>
    <row r="8" spans="1:12">
      <c r="A8" t="s">
        <v>39</v>
      </c>
      <c r="B8" s="4">
        <v>1900</v>
      </c>
      <c r="E8" t="s">
        <v>76</v>
      </c>
      <c r="F8" s="12">
        <v>3200</v>
      </c>
      <c r="I8" t="s">
        <v>477</v>
      </c>
      <c r="J8">
        <v>60</v>
      </c>
      <c r="K8">
        <v>50</v>
      </c>
      <c r="L8">
        <v>110</v>
      </c>
    </row>
    <row r="9" spans="1:12">
      <c r="A9" t="s">
        <v>34</v>
      </c>
      <c r="B9" s="4">
        <v>950</v>
      </c>
      <c r="E9" t="s">
        <v>62</v>
      </c>
      <c r="F9" s="12">
        <v>2450</v>
      </c>
    </row>
    <row r="10" spans="1:12">
      <c r="A10" t="s">
        <v>14</v>
      </c>
      <c r="B10" s="4">
        <v>15300</v>
      </c>
      <c r="E10" t="s">
        <v>54</v>
      </c>
      <c r="F10" s="12">
        <v>5100</v>
      </c>
    </row>
    <row r="11" spans="1:12">
      <c r="A11" t="s">
        <v>8</v>
      </c>
      <c r="B11" s="4">
        <v>8450</v>
      </c>
      <c r="E11" t="s">
        <v>74</v>
      </c>
      <c r="F11" s="12">
        <v>6350</v>
      </c>
    </row>
    <row r="12" spans="1:12">
      <c r="A12" t="s">
        <v>19</v>
      </c>
      <c r="B12" s="4">
        <v>4000</v>
      </c>
      <c r="E12" t="s">
        <v>58</v>
      </c>
      <c r="F12" s="12">
        <v>15150</v>
      </c>
      <c r="I12" s="17" t="s">
        <v>81</v>
      </c>
      <c r="J12" t="s">
        <v>478</v>
      </c>
      <c r="K12" t="s">
        <v>479</v>
      </c>
    </row>
    <row r="13" spans="1:12">
      <c r="A13" t="s">
        <v>45</v>
      </c>
      <c r="B13" s="4">
        <v>2500</v>
      </c>
      <c r="E13" t="s">
        <v>68</v>
      </c>
      <c r="F13" s="12">
        <v>1650</v>
      </c>
      <c r="I13" t="s">
        <v>275</v>
      </c>
      <c r="J13">
        <v>0</v>
      </c>
      <c r="K13">
        <v>5000</v>
      </c>
    </row>
    <row r="14" spans="1:12">
      <c r="A14" t="s">
        <v>47</v>
      </c>
      <c r="B14" s="4">
        <v>7700</v>
      </c>
      <c r="E14" t="s">
        <v>64</v>
      </c>
      <c r="F14" s="12">
        <v>8000</v>
      </c>
      <c r="I14" t="s">
        <v>277</v>
      </c>
      <c r="J14">
        <v>45350</v>
      </c>
      <c r="K14">
        <v>0</v>
      </c>
    </row>
    <row r="15" spans="1:12">
      <c r="A15" t="s">
        <v>32</v>
      </c>
      <c r="B15" s="4">
        <v>2025</v>
      </c>
      <c r="E15" t="s">
        <v>70</v>
      </c>
      <c r="F15" s="12">
        <v>8300</v>
      </c>
      <c r="I15" t="s">
        <v>279</v>
      </c>
      <c r="J15">
        <v>0</v>
      </c>
      <c r="K15">
        <v>63950</v>
      </c>
    </row>
    <row r="16" spans="1:12">
      <c r="A16" t="s">
        <v>37</v>
      </c>
      <c r="B16" s="4">
        <v>7600</v>
      </c>
      <c r="E16" t="s">
        <v>56</v>
      </c>
      <c r="F16" s="12">
        <v>4500</v>
      </c>
      <c r="I16" t="s">
        <v>477</v>
      </c>
      <c r="J16">
        <v>45350</v>
      </c>
      <c r="K16">
        <v>68950</v>
      </c>
    </row>
    <row r="17" spans="1:6">
      <c r="A17" t="s">
        <v>24</v>
      </c>
      <c r="B17" s="4">
        <v>900</v>
      </c>
      <c r="E17" t="s">
        <v>66</v>
      </c>
      <c r="F17" s="12">
        <v>10200</v>
      </c>
    </row>
    <row r="18" spans="1:6">
      <c r="A18" t="s">
        <v>22</v>
      </c>
      <c r="B18" s="4">
        <v>4250</v>
      </c>
      <c r="E18" t="s">
        <v>477</v>
      </c>
      <c r="F18" s="12">
        <v>96250</v>
      </c>
    </row>
    <row r="19" spans="1:6">
      <c r="A19" t="s">
        <v>41</v>
      </c>
      <c r="B19" s="4">
        <v>9700</v>
      </c>
    </row>
    <row r="20" spans="1:6">
      <c r="A20" t="s">
        <v>29</v>
      </c>
      <c r="B20" s="4">
        <v>6600</v>
      </c>
    </row>
    <row r="21" spans="1:6">
      <c r="A21" t="s">
        <v>17</v>
      </c>
      <c r="B21" s="4">
        <v>4450</v>
      </c>
    </row>
    <row r="22" spans="1:6">
      <c r="A22" t="s">
        <v>477</v>
      </c>
      <c r="B22" s="4">
        <v>87475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0617-618E-4126-B214-C18B498CB672}">
  <dimension ref="A1:E19"/>
  <sheetViews>
    <sheetView tabSelected="1" workbookViewId="0">
      <selection activeCell="T32" sqref="T32"/>
    </sheetView>
  </sheetViews>
  <sheetFormatPr defaultRowHeight="15"/>
  <cols>
    <col min="1" max="1" width="169.42578125" bestFit="1" customWidth="1"/>
    <col min="2" max="2" width="44.7109375" bestFit="1" customWidth="1"/>
    <col min="4" max="4" width="13.7109375" bestFit="1" customWidth="1"/>
  </cols>
  <sheetData>
    <row r="1" spans="1:5" ht="21">
      <c r="A1" s="18" t="s">
        <v>480</v>
      </c>
    </row>
    <row r="3" spans="1:5">
      <c r="A3" s="2" t="s">
        <v>481</v>
      </c>
      <c r="B3" s="2" t="s">
        <v>482</v>
      </c>
      <c r="D3" t="s">
        <v>483</v>
      </c>
    </row>
    <row r="4" spans="1:5">
      <c r="A4" t="s">
        <v>342</v>
      </c>
      <c r="B4" s="14">
        <f>Summary!B3</f>
        <v>110</v>
      </c>
      <c r="D4" t="s">
        <v>484</v>
      </c>
      <c r="E4">
        <f>COUNTIF('Control_Checks sheet'!C:C,"FAIL")</f>
        <v>0</v>
      </c>
    </row>
    <row r="5" spans="1:5">
      <c r="A5" t="s">
        <v>343</v>
      </c>
      <c r="B5" s="19">
        <f>Summary!B4</f>
        <v>293025</v>
      </c>
      <c r="D5" s="2" t="s">
        <v>485</v>
      </c>
      <c r="E5" s="2" t="str">
        <f>IF(E4=0,"PASS","FAIL")</f>
        <v>PASS</v>
      </c>
    </row>
    <row r="6" spans="1:5">
      <c r="A6" t="s">
        <v>344</v>
      </c>
      <c r="B6" s="19">
        <f>Summary!B5</f>
        <v>109300</v>
      </c>
    </row>
    <row r="7" spans="1:5">
      <c r="A7" t="s">
        <v>345</v>
      </c>
      <c r="B7" s="19">
        <f>Summary!B6</f>
        <v>183725</v>
      </c>
    </row>
    <row r="8" spans="1:5">
      <c r="A8" t="s">
        <v>346</v>
      </c>
      <c r="B8" s="19">
        <f>Summary!B7</f>
        <v>50</v>
      </c>
    </row>
    <row r="9" spans="1:5">
      <c r="A9" t="s">
        <v>347</v>
      </c>
      <c r="B9" s="19">
        <f>Summary!B8</f>
        <v>29</v>
      </c>
    </row>
    <row r="10" spans="1:5">
      <c r="A10" t="s">
        <v>348</v>
      </c>
      <c r="B10" s="19">
        <f>Summary!B9</f>
        <v>31</v>
      </c>
    </row>
    <row r="11" spans="1:5">
      <c r="A11" t="s">
        <v>474</v>
      </c>
      <c r="B11" s="19">
        <f>Summary!B11</f>
        <v>87475</v>
      </c>
    </row>
    <row r="12" spans="1:5">
      <c r="A12" t="s">
        <v>475</v>
      </c>
      <c r="B12" s="19">
        <f>Summary!B12</f>
        <v>96250</v>
      </c>
    </row>
    <row r="13" spans="1:5">
      <c r="A13" t="s">
        <v>486</v>
      </c>
      <c r="B13" s="19" cm="1">
        <f t="array" ref="B13">LOOKUP(2,1/(Cashbook!F:F&lt;&gt;""),Cashbook!F:F)</f>
        <v>23600</v>
      </c>
    </row>
    <row r="14" spans="1:5">
      <c r="A14" t="s">
        <v>427</v>
      </c>
      <c r="B14" s="19">
        <f>SUM(Accruals_Schedule!F2:F6)</f>
        <v>11200</v>
      </c>
    </row>
    <row r="15" spans="1:5">
      <c r="A15" t="s">
        <v>487</v>
      </c>
      <c r="B15" s="19">
        <f>SUM(Prepayments_Schedule!I2:I6)</f>
        <v>3300</v>
      </c>
    </row>
    <row r="16" spans="1:5">
      <c r="A16" t="s">
        <v>488</v>
      </c>
      <c r="B16" s="19">
        <f>SUM(Prepayments_Schedule!J2:J6)</f>
        <v>19700</v>
      </c>
    </row>
    <row r="18" spans="1:1">
      <c r="A18" s="2" t="s">
        <v>489</v>
      </c>
    </row>
    <row r="19" spans="1:1">
      <c r="A19" t="s">
        <v>490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2026-03-13T22:48:37Z</dcterms:created>
  <dcterms:modified xsi:type="dcterms:W3CDTF">2026-05-22T11:30:48Z</dcterms:modified>
  <cp:category/>
  <cp:contentStatus/>
</cp:coreProperties>
</file>